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ame\OneDrive\Documents\Resume Project\"/>
    </mc:Choice>
  </mc:AlternateContent>
  <xr:revisionPtr revIDLastSave="0" documentId="13_ncr:1_{00B5A991-9394-4542-8EB3-B611D642B1A9}" xr6:coauthVersionLast="47" xr6:coauthVersionMax="47" xr10:uidLastSave="{00000000-0000-0000-0000-000000000000}"/>
  <bookViews>
    <workbookView xWindow="-120" yWindow="-120" windowWidth="29040" windowHeight="15720" activeTab="2" xr2:uid="{4F86AB7B-79BD-45BE-B8D4-CEFEA5C5D52E}"/>
  </bookViews>
  <sheets>
    <sheet name="Population Scenario" sheetId="3" r:id="rId1"/>
    <sheet name="Inputs " sheetId="1" r:id="rId2"/>
    <sheet name="Population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B3" i="3"/>
  <c r="D3" i="3"/>
  <c r="G2" i="3"/>
  <c r="F2" i="3"/>
  <c r="E2" i="3"/>
  <c r="G2" i="2"/>
  <c r="F2" i="2"/>
  <c r="D3" i="2"/>
  <c r="C3" i="2"/>
  <c r="F3" i="2" s="1"/>
  <c r="B3" i="2"/>
  <c r="E2" i="2"/>
  <c r="G3" i="3" l="1"/>
  <c r="B4" i="3"/>
  <c r="B5" i="3" s="1"/>
  <c r="C4" i="3"/>
  <c r="D4" i="3"/>
  <c r="F4" i="3" s="1"/>
  <c r="F3" i="3"/>
  <c r="D5" i="3"/>
  <c r="E3" i="3"/>
  <c r="E3" i="2"/>
  <c r="D4" i="2"/>
  <c r="C4" i="2"/>
  <c r="F4" i="2" s="1"/>
  <c r="G3" i="2"/>
  <c r="D5" i="2"/>
  <c r="B4" i="2"/>
  <c r="G4" i="2" s="1"/>
  <c r="C6" i="3" l="1"/>
  <c r="C5" i="3"/>
  <c r="B6" i="3"/>
  <c r="F5" i="3"/>
  <c r="E4" i="3"/>
  <c r="G4" i="3"/>
  <c r="D6" i="3"/>
  <c r="E4" i="2"/>
  <c r="B5" i="2"/>
  <c r="C5" i="2"/>
  <c r="C7" i="3" l="1"/>
  <c r="E5" i="3"/>
  <c r="G5" i="3"/>
  <c r="B7" i="3"/>
  <c r="C8" i="3" s="1"/>
  <c r="D6" i="2"/>
  <c r="F5" i="2"/>
  <c r="G5" i="2"/>
  <c r="E5" i="2"/>
  <c r="C6" i="2"/>
  <c r="F6" i="2" s="1"/>
  <c r="B6" i="2"/>
  <c r="G6" i="2" l="1"/>
  <c r="B8" i="3"/>
  <c r="C9" i="3" s="1"/>
  <c r="F6" i="3"/>
  <c r="G6" i="3"/>
  <c r="E6" i="3"/>
  <c r="D7" i="3"/>
  <c r="D8" i="3" s="1"/>
  <c r="E6" i="2"/>
  <c r="B7" i="2"/>
  <c r="C7" i="2"/>
  <c r="D7" i="2"/>
  <c r="D8" i="2" s="1"/>
  <c r="G7" i="3" l="1"/>
  <c r="E7" i="3"/>
  <c r="D9" i="3"/>
  <c r="F7" i="3"/>
  <c r="C8" i="2"/>
  <c r="F8" i="2" s="1"/>
  <c r="F7" i="2"/>
  <c r="G7" i="2"/>
  <c r="B8" i="2"/>
  <c r="G8" i="2" s="1"/>
  <c r="E7" i="2"/>
  <c r="B9" i="3" l="1"/>
  <c r="C10" i="3" s="1"/>
  <c r="D10" i="3"/>
  <c r="F8" i="3"/>
  <c r="G8" i="3"/>
  <c r="E8" i="3"/>
  <c r="D9" i="2"/>
  <c r="B9" i="2"/>
  <c r="E8" i="2"/>
  <c r="C9" i="2"/>
  <c r="F9" i="2" s="1"/>
  <c r="B10" i="3" l="1"/>
  <c r="C11" i="3" s="1"/>
  <c r="G9" i="3"/>
  <c r="E9" i="3"/>
  <c r="F9" i="3"/>
  <c r="G9" i="2"/>
  <c r="C10" i="2"/>
  <c r="D10" i="2"/>
  <c r="B10" i="2"/>
  <c r="G10" i="2" s="1"/>
  <c r="E9" i="2"/>
  <c r="D11" i="2" l="1"/>
  <c r="B11" i="3"/>
  <c r="C12" i="3" s="1"/>
  <c r="F10" i="3"/>
  <c r="G10" i="3"/>
  <c r="E10" i="3"/>
  <c r="D11" i="3"/>
  <c r="D12" i="3" s="1"/>
  <c r="F10" i="2"/>
  <c r="B11" i="2"/>
  <c r="E10" i="2"/>
  <c r="C11" i="2"/>
  <c r="F11" i="2" s="1"/>
  <c r="B12" i="3" l="1"/>
  <c r="C13" i="3" s="1"/>
  <c r="G11" i="3"/>
  <c r="E11" i="3"/>
  <c r="F11" i="3"/>
  <c r="G11" i="2"/>
  <c r="C12" i="2"/>
  <c r="D12" i="2"/>
  <c r="D13" i="2" s="1"/>
  <c r="E11" i="2"/>
  <c r="B12" i="2"/>
  <c r="G12" i="2" s="1"/>
  <c r="B13" i="3" l="1"/>
  <c r="C14" i="3" s="1"/>
  <c r="F12" i="3"/>
  <c r="E12" i="3"/>
  <c r="G12" i="3"/>
  <c r="D13" i="3"/>
  <c r="D14" i="3" s="1"/>
  <c r="F12" i="2"/>
  <c r="B13" i="2"/>
  <c r="E12" i="2"/>
  <c r="C13" i="2"/>
  <c r="F13" i="2" s="1"/>
  <c r="B14" i="3" l="1"/>
  <c r="C15" i="3" s="1"/>
  <c r="E13" i="3"/>
  <c r="G13" i="3"/>
  <c r="F13" i="3"/>
  <c r="G13" i="2"/>
  <c r="C14" i="2"/>
  <c r="D14" i="2"/>
  <c r="D15" i="2" s="1"/>
  <c r="B14" i="2"/>
  <c r="G14" i="2" s="1"/>
  <c r="E13" i="2"/>
  <c r="B15" i="3" l="1"/>
  <c r="C16" i="3" s="1"/>
  <c r="F14" i="3"/>
  <c r="E14" i="3"/>
  <c r="G14" i="3"/>
  <c r="D15" i="3"/>
  <c r="D16" i="3" s="1"/>
  <c r="F14" i="2"/>
  <c r="E14" i="2"/>
  <c r="B15" i="2"/>
  <c r="C15" i="2"/>
  <c r="F15" i="2" s="1"/>
  <c r="B16" i="3" l="1"/>
  <c r="C17" i="3" s="1"/>
  <c r="E15" i="3"/>
  <c r="G15" i="3"/>
  <c r="F15" i="3"/>
  <c r="G15" i="2"/>
  <c r="C16" i="2"/>
  <c r="D16" i="2"/>
  <c r="D17" i="2" s="1"/>
  <c r="B16" i="2"/>
  <c r="G16" i="2" s="1"/>
  <c r="E15" i="2"/>
  <c r="B17" i="3" l="1"/>
  <c r="C18" i="3" s="1"/>
  <c r="F16" i="3"/>
  <c r="D17" i="3"/>
  <c r="D18" i="3" s="1"/>
  <c r="G16" i="3"/>
  <c r="E16" i="3"/>
  <c r="F16" i="2"/>
  <c r="B17" i="2"/>
  <c r="E16" i="2"/>
  <c r="C17" i="2"/>
  <c r="F17" i="2" s="1"/>
  <c r="B18" i="3" l="1"/>
  <c r="C19" i="3" s="1"/>
  <c r="E17" i="3"/>
  <c r="G17" i="3"/>
  <c r="F17" i="3"/>
  <c r="G17" i="2"/>
  <c r="C18" i="2"/>
  <c r="D18" i="2"/>
  <c r="D19" i="2" s="1"/>
  <c r="E17" i="2"/>
  <c r="B18" i="2"/>
  <c r="G18" i="2" s="1"/>
  <c r="B19" i="3" l="1"/>
  <c r="C20" i="3" s="1"/>
  <c r="F18" i="3"/>
  <c r="D19" i="3"/>
  <c r="G18" i="3"/>
  <c r="E18" i="3"/>
  <c r="F18" i="2"/>
  <c r="B19" i="2"/>
  <c r="E18" i="2"/>
  <c r="C19" i="2"/>
  <c r="F19" i="2" s="1"/>
  <c r="D20" i="3" l="1"/>
  <c r="B20" i="3"/>
  <c r="C21" i="3" s="1"/>
  <c r="G19" i="3"/>
  <c r="E19" i="3"/>
  <c r="F19" i="3"/>
  <c r="G19" i="2"/>
  <c r="C20" i="2"/>
  <c r="D20" i="2"/>
  <c r="D21" i="2" s="1"/>
  <c r="B20" i="2"/>
  <c r="G20" i="2" s="1"/>
  <c r="E19" i="2"/>
  <c r="B21" i="3" l="1"/>
  <c r="C22" i="3" s="1"/>
  <c r="F20" i="3"/>
  <c r="G20" i="3"/>
  <c r="E20" i="3"/>
  <c r="D21" i="3"/>
  <c r="D22" i="3" s="1"/>
  <c r="F20" i="2"/>
  <c r="B21" i="2"/>
  <c r="E20" i="2"/>
  <c r="C21" i="2"/>
  <c r="F21" i="2" s="1"/>
  <c r="B22" i="3" l="1"/>
  <c r="C23" i="3" s="1"/>
  <c r="E21" i="3"/>
  <c r="G21" i="3"/>
  <c r="F21" i="3"/>
  <c r="G21" i="2"/>
  <c r="C22" i="2"/>
  <c r="D22" i="2"/>
  <c r="D23" i="2" s="1"/>
  <c r="B22" i="2"/>
  <c r="G22" i="2" s="1"/>
  <c r="E21" i="2"/>
  <c r="B23" i="3" l="1"/>
  <c r="C24" i="3" s="1"/>
  <c r="F22" i="3"/>
  <c r="G22" i="3"/>
  <c r="E22" i="3"/>
  <c r="D23" i="3"/>
  <c r="D24" i="3" s="1"/>
  <c r="F22" i="2"/>
  <c r="E22" i="2"/>
  <c r="B23" i="2"/>
  <c r="C23" i="2"/>
  <c r="F23" i="2" s="1"/>
  <c r="B24" i="3" l="1"/>
  <c r="C25" i="3" s="1"/>
  <c r="E23" i="3"/>
  <c r="G23" i="3"/>
  <c r="F23" i="3"/>
  <c r="G23" i="2"/>
  <c r="C24" i="2"/>
  <c r="D24" i="2"/>
  <c r="D25" i="2" s="1"/>
  <c r="E23" i="2"/>
  <c r="B24" i="2"/>
  <c r="G24" i="2" s="1"/>
  <c r="B25" i="3" l="1"/>
  <c r="C26" i="3" s="1"/>
  <c r="F24" i="3"/>
  <c r="G24" i="3"/>
  <c r="E24" i="3"/>
  <c r="D25" i="3"/>
  <c r="D26" i="3" s="1"/>
  <c r="F24" i="2"/>
  <c r="B25" i="2"/>
  <c r="E24" i="2"/>
  <c r="C25" i="2"/>
  <c r="F25" i="2" s="1"/>
  <c r="B26" i="3" l="1"/>
  <c r="C27" i="3" s="1"/>
  <c r="G25" i="3"/>
  <c r="E25" i="3"/>
  <c r="F25" i="3"/>
  <c r="G25" i="2"/>
  <c r="C26" i="2"/>
  <c r="D26" i="2"/>
  <c r="B26" i="2"/>
  <c r="E25" i="2"/>
  <c r="B27" i="3" l="1"/>
  <c r="C28" i="3" s="1"/>
  <c r="F26" i="3"/>
  <c r="G26" i="3"/>
  <c r="E26" i="3"/>
  <c r="D27" i="3"/>
  <c r="D28" i="3" s="1"/>
  <c r="F26" i="2"/>
  <c r="G26" i="2"/>
  <c r="D27" i="2"/>
  <c r="B27" i="2"/>
  <c r="E26" i="2"/>
  <c r="C27" i="2"/>
  <c r="F27" i="2" s="1"/>
  <c r="B28" i="3" l="1"/>
  <c r="C29" i="3" s="1"/>
  <c r="G27" i="3"/>
  <c r="E27" i="3"/>
  <c r="F27" i="3"/>
  <c r="G27" i="2"/>
  <c r="C28" i="2"/>
  <c r="D28" i="2"/>
  <c r="D29" i="2" s="1"/>
  <c r="B28" i="2"/>
  <c r="E27" i="2"/>
  <c r="B29" i="3" l="1"/>
  <c r="C30" i="3" s="1"/>
  <c r="F28" i="3"/>
  <c r="G28" i="3"/>
  <c r="E28" i="3"/>
  <c r="D29" i="3"/>
  <c r="D30" i="3" s="1"/>
  <c r="G28" i="2"/>
  <c r="F28" i="2"/>
  <c r="E28" i="2"/>
  <c r="B29" i="2"/>
  <c r="C29" i="2"/>
  <c r="F29" i="2" s="1"/>
  <c r="B30" i="3" l="1"/>
  <c r="C31" i="3" s="1"/>
  <c r="G29" i="3"/>
  <c r="E29" i="3"/>
  <c r="F29" i="3"/>
  <c r="G29" i="2"/>
  <c r="C30" i="2"/>
  <c r="D30" i="2"/>
  <c r="D31" i="2" s="1"/>
  <c r="B30" i="2"/>
  <c r="G30" i="2" s="1"/>
  <c r="E29" i="2"/>
  <c r="B31" i="3" l="1"/>
  <c r="C32" i="3" s="1"/>
  <c r="F30" i="3"/>
  <c r="D31" i="3"/>
  <c r="D32" i="3" s="1"/>
  <c r="G30" i="3"/>
  <c r="E30" i="3"/>
  <c r="F30" i="2"/>
  <c r="B31" i="2"/>
  <c r="E30" i="2"/>
  <c r="C31" i="2"/>
  <c r="F31" i="2" s="1"/>
  <c r="B32" i="3" l="1"/>
  <c r="C33" i="3" s="1"/>
  <c r="E31" i="3"/>
  <c r="G31" i="3"/>
  <c r="F31" i="3"/>
  <c r="G31" i="2"/>
  <c r="C32" i="2"/>
  <c r="D32" i="2"/>
  <c r="B32" i="2"/>
  <c r="G32" i="2" s="1"/>
  <c r="E31" i="2"/>
  <c r="B33" i="3" l="1"/>
  <c r="C34" i="3" s="1"/>
  <c r="F32" i="3"/>
  <c r="D33" i="3"/>
  <c r="D34" i="3" s="1"/>
  <c r="G32" i="3"/>
  <c r="E32" i="3"/>
  <c r="D33" i="2"/>
  <c r="F32" i="2"/>
  <c r="E32" i="2"/>
  <c r="B33" i="2"/>
  <c r="C33" i="2"/>
  <c r="F33" i="2" s="1"/>
  <c r="B34" i="3" l="1"/>
  <c r="C35" i="3" s="1"/>
  <c r="G33" i="3"/>
  <c r="E33" i="3"/>
  <c r="F33" i="3"/>
  <c r="G33" i="2"/>
  <c r="C34" i="2"/>
  <c r="D34" i="2"/>
  <c r="D35" i="2" s="1"/>
  <c r="E33" i="2"/>
  <c r="B34" i="2"/>
  <c r="G34" i="2" s="1"/>
  <c r="B35" i="3" l="1"/>
  <c r="C36" i="3" s="1"/>
  <c r="F34" i="3"/>
  <c r="G34" i="3"/>
  <c r="E34" i="3"/>
  <c r="D35" i="3"/>
  <c r="D36" i="3" s="1"/>
  <c r="F34" i="2"/>
  <c r="E34" i="2"/>
  <c r="B35" i="2"/>
  <c r="C35" i="2"/>
  <c r="F35" i="2" s="1"/>
  <c r="B36" i="3" l="1"/>
  <c r="C37" i="3" s="1"/>
  <c r="E35" i="3"/>
  <c r="G35" i="3"/>
  <c r="F35" i="3"/>
  <c r="G35" i="2"/>
  <c r="B36" i="2"/>
  <c r="E35" i="2"/>
  <c r="C36" i="2"/>
  <c r="D36" i="2"/>
  <c r="D37" i="2" s="1"/>
  <c r="B37" i="3" l="1"/>
  <c r="C38" i="3" s="1"/>
  <c r="G36" i="3"/>
  <c r="E36" i="3"/>
  <c r="F36" i="3"/>
  <c r="D37" i="3"/>
  <c r="D38" i="3" s="1"/>
  <c r="C37" i="2"/>
  <c r="F37" i="2" s="1"/>
  <c r="F36" i="2"/>
  <c r="G36" i="2"/>
  <c r="B37" i="2"/>
  <c r="G37" i="2" s="1"/>
  <c r="E36" i="2"/>
  <c r="B38" i="3" l="1"/>
  <c r="C39" i="3" s="1"/>
  <c r="F37" i="3"/>
  <c r="D39" i="3"/>
  <c r="G37" i="3"/>
  <c r="E37" i="3"/>
  <c r="D38" i="2"/>
  <c r="B38" i="2"/>
  <c r="E37" i="2"/>
  <c r="C38" i="2"/>
  <c r="F38" i="2" s="1"/>
  <c r="B39" i="3" l="1"/>
  <c r="C40" i="3" s="1"/>
  <c r="G38" i="3"/>
  <c r="E38" i="3"/>
  <c r="F38" i="3"/>
  <c r="G38" i="2"/>
  <c r="D39" i="2"/>
  <c r="C39" i="2"/>
  <c r="F39" i="2" s="1"/>
  <c r="E38" i="2"/>
  <c r="B39" i="2"/>
  <c r="G39" i="2" s="1"/>
  <c r="B40" i="3" l="1"/>
  <c r="C41" i="3" s="1"/>
  <c r="F39" i="3"/>
  <c r="D40" i="3"/>
  <c r="D41" i="3" s="1"/>
  <c r="E39" i="3"/>
  <c r="G39" i="3"/>
  <c r="B40" i="2"/>
  <c r="E39" i="2"/>
  <c r="C40" i="2"/>
  <c r="D40" i="2"/>
  <c r="B41" i="3" l="1"/>
  <c r="C42" i="3" s="1"/>
  <c r="E40" i="3"/>
  <c r="G40" i="3"/>
  <c r="D42" i="3"/>
  <c r="F40" i="3"/>
  <c r="C41" i="2"/>
  <c r="F40" i="2"/>
  <c r="G40" i="2"/>
  <c r="D41" i="2"/>
  <c r="D42" i="2" s="1"/>
  <c r="E40" i="2"/>
  <c r="B41" i="2"/>
  <c r="G41" i="2" s="1"/>
  <c r="B42" i="3" l="1"/>
  <c r="C43" i="3" s="1"/>
  <c r="F41" i="3"/>
  <c r="E41" i="3"/>
  <c r="G41" i="3"/>
  <c r="F41" i="2"/>
  <c r="B42" i="2"/>
  <c r="E41" i="2"/>
  <c r="C42" i="2"/>
  <c r="B43" i="3" l="1"/>
  <c r="C44" i="3" s="1"/>
  <c r="G42" i="3"/>
  <c r="E42" i="3"/>
  <c r="F42" i="3"/>
  <c r="D43" i="3"/>
  <c r="C43" i="2"/>
  <c r="F42" i="2"/>
  <c r="G42" i="2"/>
  <c r="D43" i="2"/>
  <c r="E42" i="2"/>
  <c r="B43" i="2"/>
  <c r="D44" i="2" l="1"/>
  <c r="G43" i="2"/>
  <c r="B44" i="3"/>
  <c r="C45" i="3" s="1"/>
  <c r="F43" i="3"/>
  <c r="D44" i="3"/>
  <c r="D45" i="3" s="1"/>
  <c r="E43" i="3"/>
  <c r="G43" i="3"/>
  <c r="F43" i="2"/>
  <c r="B44" i="2"/>
  <c r="E43" i="2"/>
  <c r="C44" i="2"/>
  <c r="B45" i="3" l="1"/>
  <c r="C46" i="3" s="1"/>
  <c r="G44" i="3"/>
  <c r="E44" i="3"/>
  <c r="F44" i="3"/>
  <c r="C45" i="2"/>
  <c r="F44" i="2"/>
  <c r="G44" i="2"/>
  <c r="D45" i="2"/>
  <c r="D46" i="2" s="1"/>
  <c r="E44" i="2"/>
  <c r="B45" i="2"/>
  <c r="G45" i="2" s="1"/>
  <c r="B46" i="3" l="1"/>
  <c r="C47" i="3" s="1"/>
  <c r="F45" i="3"/>
  <c r="G45" i="3"/>
  <c r="E45" i="3"/>
  <c r="D46" i="3"/>
  <c r="D47" i="3" s="1"/>
  <c r="F45" i="2"/>
  <c r="E45" i="2"/>
  <c r="B46" i="2"/>
  <c r="C46" i="2"/>
  <c r="D47" i="2"/>
  <c r="B47" i="3" l="1"/>
  <c r="C48" i="3" s="1"/>
  <c r="E46" i="3"/>
  <c r="G46" i="3"/>
  <c r="F46" i="3"/>
  <c r="C47" i="2"/>
  <c r="F46" i="2"/>
  <c r="G46" i="2"/>
  <c r="B47" i="2"/>
  <c r="G47" i="2" s="1"/>
  <c r="E46" i="2"/>
  <c r="B48" i="3" l="1"/>
  <c r="C49" i="3" s="1"/>
  <c r="F47" i="3"/>
  <c r="E47" i="3"/>
  <c r="G47" i="3"/>
  <c r="D48" i="3"/>
  <c r="D49" i="3" s="1"/>
  <c r="F47" i="2"/>
  <c r="D48" i="2"/>
  <c r="B48" i="2"/>
  <c r="E47" i="2"/>
  <c r="C48" i="2"/>
  <c r="F48" i="2" s="1"/>
  <c r="B49" i="3" l="1"/>
  <c r="C50" i="3" s="1"/>
  <c r="G48" i="3"/>
  <c r="E48" i="3"/>
  <c r="F48" i="3"/>
  <c r="G48" i="2"/>
  <c r="D49" i="2"/>
  <c r="C49" i="2"/>
  <c r="F49" i="2" s="1"/>
  <c r="E48" i="2"/>
  <c r="B49" i="2"/>
  <c r="G49" i="2" s="1"/>
  <c r="B50" i="3" l="1"/>
  <c r="C51" i="3" s="1"/>
  <c r="F49" i="3"/>
  <c r="E49" i="3"/>
  <c r="G49" i="3"/>
  <c r="D50" i="3"/>
  <c r="D51" i="3" s="1"/>
  <c r="C50" i="2"/>
  <c r="E49" i="2"/>
  <c r="B50" i="2"/>
  <c r="D50" i="2"/>
  <c r="D51" i="2" s="1"/>
  <c r="B51" i="3" l="1"/>
  <c r="C52" i="3" s="1"/>
  <c r="G50" i="3"/>
  <c r="E50" i="3"/>
  <c r="F50" i="3"/>
  <c r="G50" i="2"/>
  <c r="F50" i="2"/>
  <c r="E50" i="2"/>
  <c r="B51" i="2"/>
  <c r="C51" i="2"/>
  <c r="B52" i="3" l="1"/>
  <c r="F51" i="3"/>
  <c r="G51" i="3"/>
  <c r="E51" i="3"/>
  <c r="D52" i="3"/>
  <c r="C52" i="2"/>
  <c r="F51" i="2"/>
  <c r="G51" i="2"/>
  <c r="B52" i="2"/>
  <c r="E51" i="2"/>
  <c r="D52" i="2"/>
  <c r="G52" i="3" l="1"/>
  <c r="E52" i="3"/>
  <c r="F52" i="3"/>
  <c r="G52" i="2"/>
  <c r="F52" i="2"/>
  <c r="E52" i="2"/>
</calcChain>
</file>

<file path=xl/sharedStrings.xml><?xml version="1.0" encoding="utf-8"?>
<sst xmlns="http://schemas.openxmlformats.org/spreadsheetml/2006/main" count="67" uniqueCount="24">
  <si>
    <t>Parameter</t>
  </si>
  <si>
    <t xml:space="preserve">Birth Rate </t>
  </si>
  <si>
    <t>Description</t>
  </si>
  <si>
    <t xml:space="preserve">Value </t>
  </si>
  <si>
    <t xml:space="preserve">Youth to Worker </t>
  </si>
  <si>
    <t xml:space="preserve">Worker to Retired </t>
  </si>
  <si>
    <t xml:space="preserve">Worker Mortality </t>
  </si>
  <si>
    <t xml:space="preserve">Retired Mortality </t>
  </si>
  <si>
    <t>Youth Mortality</t>
  </si>
  <si>
    <t>abual births per worker</t>
  </si>
  <si>
    <t>% of youth moving to workforce</t>
  </si>
  <si>
    <t>% of workers retiring annually</t>
  </si>
  <si>
    <t xml:space="preserve">annual mortality rate </t>
  </si>
  <si>
    <t xml:space="preserve">Year </t>
  </si>
  <si>
    <t>Youth</t>
  </si>
  <si>
    <t>Workers</t>
  </si>
  <si>
    <t>Retired</t>
  </si>
  <si>
    <t>Total Population</t>
  </si>
  <si>
    <t>Worker - Retiree Ratio</t>
  </si>
  <si>
    <t xml:space="preserve">Dependency Ratio </t>
  </si>
  <si>
    <t xml:space="preserve">Scenario Birth Rate </t>
  </si>
  <si>
    <t xml:space="preserve">lower birth rates </t>
  </si>
  <si>
    <t xml:space="preserve">higher retirement rate </t>
  </si>
  <si>
    <t xml:space="preserve">Scenario Retirement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</si>
</sst>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  <xf numFmtId="0" fontId="0" fillId="0" borderId="5" xfId="0" applyFill="1" applyBorder="1"/>
    <xf numFmtId="0" fontId="0" fillId="0" borderId="6" xfId="0" applyBorder="1"/>
    <xf numFmtId="0" fontId="0" fillId="0" borderId="0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By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Scenario'!$A$1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C-47C9-A223-D3D6ADEB433E}"/>
            </c:ext>
          </c:extLst>
        </c:ser>
        <c:ser>
          <c:idx val="1"/>
          <c:order val="1"/>
          <c:tx>
            <c:strRef>
              <c:f>'Population Scenario'!$B$1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Scenario'!$B$2:$B$52</c:f>
              <c:numCache>
                <c:formatCode>General</c:formatCode>
                <c:ptCount val="51"/>
                <c:pt idx="0">
                  <c:v>200000</c:v>
                </c:pt>
                <c:pt idx="1">
                  <c:v>197300</c:v>
                </c:pt>
                <c:pt idx="2">
                  <c:v>194475.2</c:v>
                </c:pt>
                <c:pt idx="3">
                  <c:v>191616.75230000002</c:v>
                </c:pt>
                <c:pt idx="4">
                  <c:v>188732.25139520003</c:v>
                </c:pt>
                <c:pt idx="5">
                  <c:v>185828.6146949573</c:v>
                </c:pt>
                <c:pt idx="6">
                  <c:v>182912.1357895323</c:v>
                </c:pt>
                <c:pt idx="7">
                  <c:v>179988.53364932441</c:v>
                </c:pt>
                <c:pt idx="8">
                  <c:v>177062.99806478163</c:v>
                </c:pt>
                <c:pt idx="9">
                  <c:v>174140.23161186677</c:v>
                </c:pt>
                <c:pt idx="10">
                  <c:v>171224.48840642165</c:v>
                </c:pt>
                <c:pt idx="11">
                  <c:v>168319.60989085893</c:v>
                </c:pt>
                <c:pt idx="12">
                  <c:v>165429.05787820229</c:v>
                </c:pt>
                <c:pt idx="13">
                  <c:v>162555.94506147932</c:v>
                </c:pt>
                <c:pt idx="14">
                  <c:v>159703.06318073993</c:v>
                </c:pt>
                <c:pt idx="15">
                  <c:v>156872.90902543155</c:v>
                </c:pt>
                <c:pt idx="16">
                  <c:v>154067.7084364185</c:v>
                </c:pt>
                <c:pt idx="17">
                  <c:v>151289.43845950643</c:v>
                </c:pt>
                <c:pt idx="18">
                  <c:v>148539.84779084366</c:v>
                </c:pt>
                <c:pt idx="19">
                  <c:v>145820.47564395255</c:v>
                </c:pt>
                <c:pt idx="20">
                  <c:v>143132.66915832614</c:v>
                </c:pt>
                <c:pt idx="21">
                  <c:v>140477.59946044997</c:v>
                </c:pt>
                <c:pt idx="22">
                  <c:v>137856.27647972028</c:v>
                </c:pt>
                <c:pt idx="23">
                  <c:v>135269.56261397427</c:v>
                </c:pt>
                <c:pt idx="24">
                  <c:v>132718.18533217872</c:v>
                </c:pt>
                <c:pt idx="25">
                  <c:v>130202.74879519692</c:v>
                </c:pt>
                <c:pt idx="26">
                  <c:v>127723.74456942719</c:v>
                </c:pt>
                <c:pt idx="27">
                  <c:v>125281.56150244275</c:v>
                </c:pt>
                <c:pt idx="28">
                  <c:v>122876.49482452907</c:v>
                </c:pt>
                <c:pt idx="29">
                  <c:v>120508.75453517384</c:v>
                </c:pt>
                <c:pt idx="30">
                  <c:v>118178.47312909279</c:v>
                </c:pt>
                <c:pt idx="31">
                  <c:v>115885.71271223867</c:v>
                </c:pt>
                <c:pt idx="32">
                  <c:v>113630.47155441812</c:v>
                </c:pt>
                <c:pt idx="33">
                  <c:v>111412.69012160793</c:v>
                </c:pt>
                <c:pt idx="34">
                  <c:v>109232.25662779593</c:v>
                </c:pt>
                <c:pt idx="35">
                  <c:v>107089.01214315199</c:v>
                </c:pt>
                <c:pt idx="36">
                  <c:v>104982.75529254392</c:v>
                </c:pt>
                <c:pt idx="37">
                  <c:v>102913.24657583307</c:v>
                </c:pt>
                <c:pt idx="38">
                  <c:v>100880.21233899948</c:v>
                </c:pt>
                <c:pt idx="39">
                  <c:v>98883.348422942247</c:v>
                </c:pt>
                <c:pt idx="40">
                  <c:v>96922.323514762771</c:v>
                </c:pt>
                <c:pt idx="41">
                  <c:v>94996.782224455077</c:v>
                </c:pt>
                <c:pt idx="42">
                  <c:v>93106.34790818661</c:v>
                </c:pt>
                <c:pt idx="43">
                  <c:v>91250.625257743115</c:v>
                </c:pt>
                <c:pt idx="44">
                  <c:v>89429.202674224056</c:v>
                </c:pt>
                <c:pt idx="45">
                  <c:v>87641.654442699626</c:v>
                </c:pt>
                <c:pt idx="46">
                  <c:v>85887.542723269857</c:v>
                </c:pt>
                <c:pt idx="47">
                  <c:v>84166.419372791381</c:v>
                </c:pt>
                <c:pt idx="48">
                  <c:v>82477.827610451379</c:v>
                </c:pt>
                <c:pt idx="49">
                  <c:v>80821.30353936505</c:v>
                </c:pt>
                <c:pt idx="50">
                  <c:v>79196.377535444859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C-47C9-A223-D3D6ADEB433E}"/>
            </c:ext>
          </c:extLst>
        </c:ser>
        <c:ser>
          <c:idx val="2"/>
          <c:order val="2"/>
          <c:tx>
            <c:strRef>
              <c:f>'Population Scenario'!$C$1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482500</c:v>
                </c:pt>
                <c:pt idx="2">
                  <c:v>470652.5</c:v>
                </c:pt>
                <c:pt idx="3">
                  <c:v>459196.89750000002</c:v>
                </c:pt>
                <c:pt idx="4">
                  <c:v>448113.87472750008</c:v>
                </c:pt>
                <c:pt idx="5">
                  <c:v>437385.36293452256</c:v>
                </c:pt>
                <c:pt idx="6">
                  <c:v>426994.45233721694</c:v>
                </c:pt>
                <c:pt idx="7">
                  <c:v>416925.30877151876</c:v>
                </c:pt>
                <c:pt idx="8">
                  <c:v>407163.09655926668</c:v>
                </c:pt>
                <c:pt idx="9">
                  <c:v>397693.90711733879</c:v>
                </c:pt>
                <c:pt idx="10">
                  <c:v>388504.69287765189</c:v>
                </c:pt>
                <c:pt idx="11">
                  <c:v>379583.20611847861</c:v>
                </c:pt>
                <c:pt idx="12">
                  <c:v>370917.94233768998</c:v>
                </c:pt>
                <c:pt idx="13">
                  <c:v>362498.08782640402</c:v>
                </c:pt>
                <c:pt idx="14">
                  <c:v>354313.47112728975</c:v>
                </c:pt>
                <c:pt idx="15">
                  <c:v>346354.51808559871</c:v>
                </c:pt>
                <c:pt idx="16">
                  <c:v>338612.21022301831</c:v>
                </c:pt>
                <c:pt idx="17">
                  <c:v>331078.04618480342</c:v>
                </c:pt>
                <c:pt idx="18">
                  <c:v>323744.00602946262</c:v>
                </c:pt>
                <c:pt idx="19">
                  <c:v>316602.51814767899</c:v>
                </c:pt>
                <c:pt idx="20">
                  <c:v>309646.42861323105</c:v>
                </c:pt>
                <c:pt idx="21">
                  <c:v>302868.97278355196</c:v>
                </c:pt>
                <c:pt idx="22">
                  <c:v>296263.74898131465</c:v>
                </c:pt>
                <c:pt idx="23">
                  <c:v>289824.69410114153</c:v>
                </c:pt>
                <c:pt idx="24">
                  <c:v>283546.06099728891</c:v>
                </c:pt>
                <c:pt idx="25">
                  <c:v>277422.39751901984</c:v>
                </c:pt>
                <c:pt idx="26">
                  <c:v>271448.52707042382</c:v>
                </c:pt>
                <c:pt idx="27">
                  <c:v>265619.53058072604</c:v>
                </c:pt>
                <c:pt idx="28">
                  <c:v>259930.7297797155</c:v>
                </c:pt>
                <c:pt idx="29">
                  <c:v>254377.67168085478</c:v>
                </c:pt>
                <c:pt idx="30">
                  <c:v>248956.11418197499</c:v>
                </c:pt>
                <c:pt idx="31">
                  <c:v>243662.01270024074</c:v>
                </c:pt>
                <c:pt idx="32">
                  <c:v>238491.50776434183</c:v>
                </c:pt>
                <c:pt idx="33">
                  <c:v>233440.91349266737</c:v>
                </c:pt>
                <c:pt idx="34">
                  <c:v>228506.70689157772</c:v>
                </c:pt>
                <c:pt idx="35">
                  <c:v>223685.51791284652</c:v>
                </c:pt>
                <c:pt idx="36">
                  <c:v>218974.12021392604</c:v>
                </c:pt>
                <c:pt idx="37">
                  <c:v>214369.42256892659</c:v>
                </c:pt>
                <c:pt idx="38">
                  <c:v>209868.46088211655</c:v>
                </c:pt>
                <c:pt idx="39">
                  <c:v>205468.39075937125</c:v>
                </c:pt>
                <c:pt idx="40">
                  <c:v>201166.48059634666</c:v>
                </c:pt>
                <c:pt idx="41">
                  <c:v>196960.1051452492</c:v>
                </c:pt>
                <c:pt idx="42">
                  <c:v>192846.73952493572</c:v>
                </c:pt>
                <c:pt idx="43">
                  <c:v>188823.95364172297</c:v>
                </c:pt>
                <c:pt idx="44">
                  <c:v>184889.40699073256</c:v>
                </c:pt>
                <c:pt idx="45">
                  <c:v>181040.84380986079</c:v>
                </c:pt>
                <c:pt idx="46">
                  <c:v>177276.08856055202</c:v>
                </c:pt>
                <c:pt idx="47">
                  <c:v>173593.04171149066</c:v>
                </c:pt>
                <c:pt idx="48">
                  <c:v>169989.67580311315</c:v>
                </c:pt>
                <c:pt idx="49">
                  <c:v>166464.03177249563</c:v>
                </c:pt>
                <c:pt idx="50">
                  <c:v>163014.21551970157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2C-47C9-A223-D3D6ADEB433E}"/>
            </c:ext>
          </c:extLst>
        </c:ser>
        <c:ser>
          <c:idx val="3"/>
          <c:order val="3"/>
          <c:tx>
            <c:strRef>
              <c:f>'Population Scenario'!$D$1</c:f>
              <c:strCache>
                <c:ptCount val="1"/>
                <c:pt idx="0">
                  <c:v>Retired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Scenario'!$D$2:$D$52</c:f>
              <c:numCache>
                <c:formatCode>General</c:formatCode>
                <c:ptCount val="51"/>
                <c:pt idx="0">
                  <c:v>150000</c:v>
                </c:pt>
                <c:pt idx="1">
                  <c:v>164000</c:v>
                </c:pt>
                <c:pt idx="2">
                  <c:v>176740</c:v>
                </c:pt>
                <c:pt idx="3">
                  <c:v>188496.5</c:v>
                </c:pt>
                <c:pt idx="4">
                  <c:v>199324.5159</c:v>
                </c:pt>
                <c:pt idx="5">
                  <c:v>209276.0902531</c:v>
                </c:pt>
                <c:pt idx="6">
                  <c:v>218400.46116035691</c:v>
                </c:pt>
                <c:pt idx="7">
                  <c:v>226744.22080743132</c:v>
                </c:pt>
                <c:pt idx="8">
                  <c:v>234351.46432599484</c:v>
                </c:pt>
                <c:pt idx="9">
                  <c:v>241263.9296153257</c:v>
                </c:pt>
                <c:pt idx="10">
                  <c:v>247521.12871540623</c:v>
                </c:pt>
                <c:pt idx="11">
                  <c:v>253160.47128189605</c:v>
                </c:pt>
                <c:pt idx="12">
                  <c:v>258217.38067535937</c:v>
                </c:pt>
                <c:pt idx="13">
                  <c:v>262725.40314185258</c:v>
                </c:pt>
                <c:pt idx="14">
                  <c:v>266716.31052923464</c:v>
                </c:pt>
                <c:pt idx="15">
                  <c:v>270220.19695315685</c:v>
                </c:pt>
                <c:pt idx="16">
                  <c:v>273265.56979845453</c:v>
                </c:pt>
                <c:pt idx="17">
                  <c:v>275879.43541543704</c:v>
                </c:pt>
                <c:pt idx="18">
                  <c:v>278087.3798462117</c:v>
                </c:pt>
                <c:pt idx="19">
                  <c:v>279913.64489354176</c:v>
                </c:pt>
                <c:pt idx="20">
                  <c:v>281381.19982370723</c:v>
                </c:pt>
                <c:pt idx="21">
                  <c:v>282511.80897528818</c:v>
                </c:pt>
                <c:pt idx="22">
                  <c:v>283326.09552761872</c:v>
                </c:pt>
                <c:pt idx="23">
                  <c:v>283843.60166576656</c:v>
                </c:pt>
                <c:pt idx="24">
                  <c:v>284082.84536318155</c:v>
                </c:pt>
                <c:pt idx="25">
                  <c:v>284061.37398854585</c:v>
                </c:pt>
                <c:pt idx="26">
                  <c:v>283795.81492976478</c:v>
                </c:pt>
                <c:pt idx="27">
                  <c:v>283301.92341539118</c:v>
                </c:pt>
                <c:pt idx="28">
                  <c:v>282594.62770200457</c:v>
                </c:pt>
                <c:pt idx="29">
                  <c:v>281688.07178511302</c:v>
                </c:pt>
                <c:pt idx="30">
                  <c:v>280595.65578094264</c:v>
                </c:pt>
                <c:pt idx="31">
                  <c:v>279330.07411698392</c:v>
                </c:pt>
                <c:pt idx="32">
                  <c:v>277903.35166031419</c:v>
                </c:pt>
                <c:pt idx="33">
                  <c:v>276326.87790447532</c:v>
                </c:pt>
                <c:pt idx="34">
                  <c:v>274611.43932800298</c:v>
                </c:pt>
                <c:pt idx="35">
                  <c:v>272767.25003054593</c:v>
                </c:pt>
                <c:pt idx="36">
                  <c:v>270803.98074583797</c:v>
                </c:pt>
                <c:pt idx="37">
                  <c:v>268730.78632456152</c:v>
                </c:pt>
                <c:pt idx="38">
                  <c:v>266556.33177433611</c:v>
                </c:pt>
                <c:pt idx="39">
                  <c:v>264288.8169386473</c:v>
                </c:pt>
                <c:pt idx="40">
                  <c:v>261935.99989147627</c:v>
                </c:pt>
                <c:pt idx="41">
                  <c:v>259505.21911967109</c:v>
                </c:pt>
                <c:pt idx="42">
                  <c:v>257003.41456069425</c:v>
                </c:pt>
                <c:pt idx="43">
                  <c:v>254437.14755926392</c:v>
                </c:pt>
                <c:pt idx="44">
                  <c:v>251812.61980256226</c:v>
                </c:pt>
                <c:pt idx="45">
                  <c:v>249135.69129008907</c:v>
                </c:pt>
                <c:pt idx="46">
                  <c:v>246411.89739087995</c:v>
                </c:pt>
                <c:pt idx="47">
                  <c:v>243646.46503766684</c:v>
                </c:pt>
                <c:pt idx="48">
                  <c:v>240844.32810461978</c:v>
                </c:pt>
                <c:pt idx="49">
                  <c:v>238010.14201255952</c:v>
                </c:pt>
                <c:pt idx="50">
                  <c:v>235148.29760295697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2C-47C9-A223-D3D6ADEB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778992"/>
        <c:axId val="1420765072"/>
      </c:lineChart>
      <c:catAx>
        <c:axId val="142077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65072"/>
        <c:crosses val="autoZero"/>
        <c:auto val="1"/>
        <c:lblAlgn val="ctr"/>
        <c:lblOffset val="100"/>
        <c:noMultiLvlLbl val="0"/>
      </c:catAx>
      <c:valAx>
        <c:axId val="14207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Scenario'!$A$1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899-A507-BB1DDC4BFDD8}"/>
            </c:ext>
          </c:extLst>
        </c:ser>
        <c:ser>
          <c:idx val="1"/>
          <c:order val="1"/>
          <c:tx>
            <c:strRef>
              <c:f>'Population Scenario'!$B$1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Scenario'!$B$2:$B$52</c:f>
              <c:numCache>
                <c:formatCode>General</c:formatCode>
                <c:ptCount val="51"/>
                <c:pt idx="0">
                  <c:v>200000</c:v>
                </c:pt>
                <c:pt idx="1">
                  <c:v>197300</c:v>
                </c:pt>
                <c:pt idx="2">
                  <c:v>194475.2</c:v>
                </c:pt>
                <c:pt idx="3">
                  <c:v>191616.75230000002</c:v>
                </c:pt>
                <c:pt idx="4">
                  <c:v>188732.25139520003</c:v>
                </c:pt>
                <c:pt idx="5">
                  <c:v>185828.6146949573</c:v>
                </c:pt>
                <c:pt idx="6">
                  <c:v>182912.1357895323</c:v>
                </c:pt>
                <c:pt idx="7">
                  <c:v>179988.53364932441</c:v>
                </c:pt>
                <c:pt idx="8">
                  <c:v>177062.99806478163</c:v>
                </c:pt>
                <c:pt idx="9">
                  <c:v>174140.23161186677</c:v>
                </c:pt>
                <c:pt idx="10">
                  <c:v>171224.48840642165</c:v>
                </c:pt>
                <c:pt idx="11">
                  <c:v>168319.60989085893</c:v>
                </c:pt>
                <c:pt idx="12">
                  <c:v>165429.05787820229</c:v>
                </c:pt>
                <c:pt idx="13">
                  <c:v>162555.94506147932</c:v>
                </c:pt>
                <c:pt idx="14">
                  <c:v>159703.06318073993</c:v>
                </c:pt>
                <c:pt idx="15">
                  <c:v>156872.90902543155</c:v>
                </c:pt>
                <c:pt idx="16">
                  <c:v>154067.7084364185</c:v>
                </c:pt>
                <c:pt idx="17">
                  <c:v>151289.43845950643</c:v>
                </c:pt>
                <c:pt idx="18">
                  <c:v>148539.84779084366</c:v>
                </c:pt>
                <c:pt idx="19">
                  <c:v>145820.47564395255</c:v>
                </c:pt>
                <c:pt idx="20">
                  <c:v>143132.66915832614</c:v>
                </c:pt>
                <c:pt idx="21">
                  <c:v>140477.59946044997</c:v>
                </c:pt>
                <c:pt idx="22">
                  <c:v>137856.27647972028</c:v>
                </c:pt>
                <c:pt idx="23">
                  <c:v>135269.56261397427</c:v>
                </c:pt>
                <c:pt idx="24">
                  <c:v>132718.18533217872</c:v>
                </c:pt>
                <c:pt idx="25">
                  <c:v>130202.74879519692</c:v>
                </c:pt>
                <c:pt idx="26">
                  <c:v>127723.74456942719</c:v>
                </c:pt>
                <c:pt idx="27">
                  <c:v>125281.56150244275</c:v>
                </c:pt>
                <c:pt idx="28">
                  <c:v>122876.49482452907</c:v>
                </c:pt>
                <c:pt idx="29">
                  <c:v>120508.75453517384</c:v>
                </c:pt>
                <c:pt idx="30">
                  <c:v>118178.47312909279</c:v>
                </c:pt>
                <c:pt idx="31">
                  <c:v>115885.71271223867</c:v>
                </c:pt>
                <c:pt idx="32">
                  <c:v>113630.47155441812</c:v>
                </c:pt>
                <c:pt idx="33">
                  <c:v>111412.69012160793</c:v>
                </c:pt>
                <c:pt idx="34">
                  <c:v>109232.25662779593</c:v>
                </c:pt>
                <c:pt idx="35">
                  <c:v>107089.01214315199</c:v>
                </c:pt>
                <c:pt idx="36">
                  <c:v>104982.75529254392</c:v>
                </c:pt>
                <c:pt idx="37">
                  <c:v>102913.24657583307</c:v>
                </c:pt>
                <c:pt idx="38">
                  <c:v>100880.21233899948</c:v>
                </c:pt>
                <c:pt idx="39">
                  <c:v>98883.348422942247</c:v>
                </c:pt>
                <c:pt idx="40">
                  <c:v>96922.323514762771</c:v>
                </c:pt>
                <c:pt idx="41">
                  <c:v>94996.782224455077</c:v>
                </c:pt>
                <c:pt idx="42">
                  <c:v>93106.34790818661</c:v>
                </c:pt>
                <c:pt idx="43">
                  <c:v>91250.625257743115</c:v>
                </c:pt>
                <c:pt idx="44">
                  <c:v>89429.202674224056</c:v>
                </c:pt>
                <c:pt idx="45">
                  <c:v>87641.654442699626</c:v>
                </c:pt>
                <c:pt idx="46">
                  <c:v>85887.542723269857</c:v>
                </c:pt>
                <c:pt idx="47">
                  <c:v>84166.419372791381</c:v>
                </c:pt>
                <c:pt idx="48">
                  <c:v>82477.827610451379</c:v>
                </c:pt>
                <c:pt idx="49">
                  <c:v>80821.30353936505</c:v>
                </c:pt>
                <c:pt idx="50">
                  <c:v>79196.377535444859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E-4899-A507-BB1DDC4BFDD8}"/>
            </c:ext>
          </c:extLst>
        </c:ser>
        <c:ser>
          <c:idx val="2"/>
          <c:order val="2"/>
          <c:tx>
            <c:strRef>
              <c:f>'Population Scenario'!$C$1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482500</c:v>
                </c:pt>
                <c:pt idx="2">
                  <c:v>470652.5</c:v>
                </c:pt>
                <c:pt idx="3">
                  <c:v>459196.89750000002</c:v>
                </c:pt>
                <c:pt idx="4">
                  <c:v>448113.87472750008</c:v>
                </c:pt>
                <c:pt idx="5">
                  <c:v>437385.36293452256</c:v>
                </c:pt>
                <c:pt idx="6">
                  <c:v>426994.45233721694</c:v>
                </c:pt>
                <c:pt idx="7">
                  <c:v>416925.30877151876</c:v>
                </c:pt>
                <c:pt idx="8">
                  <c:v>407163.09655926668</c:v>
                </c:pt>
                <c:pt idx="9">
                  <c:v>397693.90711733879</c:v>
                </c:pt>
                <c:pt idx="10">
                  <c:v>388504.69287765189</c:v>
                </c:pt>
                <c:pt idx="11">
                  <c:v>379583.20611847861</c:v>
                </c:pt>
                <c:pt idx="12">
                  <c:v>370917.94233768998</c:v>
                </c:pt>
                <c:pt idx="13">
                  <c:v>362498.08782640402</c:v>
                </c:pt>
                <c:pt idx="14">
                  <c:v>354313.47112728975</c:v>
                </c:pt>
                <c:pt idx="15">
                  <c:v>346354.51808559871</c:v>
                </c:pt>
                <c:pt idx="16">
                  <c:v>338612.21022301831</c:v>
                </c:pt>
                <c:pt idx="17">
                  <c:v>331078.04618480342</c:v>
                </c:pt>
                <c:pt idx="18">
                  <c:v>323744.00602946262</c:v>
                </c:pt>
                <c:pt idx="19">
                  <c:v>316602.51814767899</c:v>
                </c:pt>
                <c:pt idx="20">
                  <c:v>309646.42861323105</c:v>
                </c:pt>
                <c:pt idx="21">
                  <c:v>302868.97278355196</c:v>
                </c:pt>
                <c:pt idx="22">
                  <c:v>296263.74898131465</c:v>
                </c:pt>
                <c:pt idx="23">
                  <c:v>289824.69410114153</c:v>
                </c:pt>
                <c:pt idx="24">
                  <c:v>283546.06099728891</c:v>
                </c:pt>
                <c:pt idx="25">
                  <c:v>277422.39751901984</c:v>
                </c:pt>
                <c:pt idx="26">
                  <c:v>271448.52707042382</c:v>
                </c:pt>
                <c:pt idx="27">
                  <c:v>265619.53058072604</c:v>
                </c:pt>
                <c:pt idx="28">
                  <c:v>259930.7297797155</c:v>
                </c:pt>
                <c:pt idx="29">
                  <c:v>254377.67168085478</c:v>
                </c:pt>
                <c:pt idx="30">
                  <c:v>248956.11418197499</c:v>
                </c:pt>
                <c:pt idx="31">
                  <c:v>243662.01270024074</c:v>
                </c:pt>
                <c:pt idx="32">
                  <c:v>238491.50776434183</c:v>
                </c:pt>
                <c:pt idx="33">
                  <c:v>233440.91349266737</c:v>
                </c:pt>
                <c:pt idx="34">
                  <c:v>228506.70689157772</c:v>
                </c:pt>
                <c:pt idx="35">
                  <c:v>223685.51791284652</c:v>
                </c:pt>
                <c:pt idx="36">
                  <c:v>218974.12021392604</c:v>
                </c:pt>
                <c:pt idx="37">
                  <c:v>214369.42256892659</c:v>
                </c:pt>
                <c:pt idx="38">
                  <c:v>209868.46088211655</c:v>
                </c:pt>
                <c:pt idx="39">
                  <c:v>205468.39075937125</c:v>
                </c:pt>
                <c:pt idx="40">
                  <c:v>201166.48059634666</c:v>
                </c:pt>
                <c:pt idx="41">
                  <c:v>196960.1051452492</c:v>
                </c:pt>
                <c:pt idx="42">
                  <c:v>192846.73952493572</c:v>
                </c:pt>
                <c:pt idx="43">
                  <c:v>188823.95364172297</c:v>
                </c:pt>
                <c:pt idx="44">
                  <c:v>184889.40699073256</c:v>
                </c:pt>
                <c:pt idx="45">
                  <c:v>181040.84380986079</c:v>
                </c:pt>
                <c:pt idx="46">
                  <c:v>177276.08856055202</c:v>
                </c:pt>
                <c:pt idx="47">
                  <c:v>173593.04171149066</c:v>
                </c:pt>
                <c:pt idx="48">
                  <c:v>169989.67580311315</c:v>
                </c:pt>
                <c:pt idx="49">
                  <c:v>166464.03177249563</c:v>
                </c:pt>
                <c:pt idx="50">
                  <c:v>163014.21551970157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E-4899-A507-BB1DDC4BFDD8}"/>
            </c:ext>
          </c:extLst>
        </c:ser>
        <c:ser>
          <c:idx val="3"/>
          <c:order val="3"/>
          <c:tx>
            <c:strRef>
              <c:f>'Population Scenario'!$D$1</c:f>
              <c:strCache>
                <c:ptCount val="1"/>
                <c:pt idx="0">
                  <c:v>Retired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Scenario'!$D$2:$D$52</c:f>
              <c:numCache>
                <c:formatCode>General</c:formatCode>
                <c:ptCount val="51"/>
                <c:pt idx="0">
                  <c:v>150000</c:v>
                </c:pt>
                <c:pt idx="1">
                  <c:v>164000</c:v>
                </c:pt>
                <c:pt idx="2">
                  <c:v>176740</c:v>
                </c:pt>
                <c:pt idx="3">
                  <c:v>188496.5</c:v>
                </c:pt>
                <c:pt idx="4">
                  <c:v>199324.5159</c:v>
                </c:pt>
                <c:pt idx="5">
                  <c:v>209276.0902531</c:v>
                </c:pt>
                <c:pt idx="6">
                  <c:v>218400.46116035691</c:v>
                </c:pt>
                <c:pt idx="7">
                  <c:v>226744.22080743132</c:v>
                </c:pt>
                <c:pt idx="8">
                  <c:v>234351.46432599484</c:v>
                </c:pt>
                <c:pt idx="9">
                  <c:v>241263.9296153257</c:v>
                </c:pt>
                <c:pt idx="10">
                  <c:v>247521.12871540623</c:v>
                </c:pt>
                <c:pt idx="11">
                  <c:v>253160.47128189605</c:v>
                </c:pt>
                <c:pt idx="12">
                  <c:v>258217.38067535937</c:v>
                </c:pt>
                <c:pt idx="13">
                  <c:v>262725.40314185258</c:v>
                </c:pt>
                <c:pt idx="14">
                  <c:v>266716.31052923464</c:v>
                </c:pt>
                <c:pt idx="15">
                  <c:v>270220.19695315685</c:v>
                </c:pt>
                <c:pt idx="16">
                  <c:v>273265.56979845453</c:v>
                </c:pt>
                <c:pt idx="17">
                  <c:v>275879.43541543704</c:v>
                </c:pt>
                <c:pt idx="18">
                  <c:v>278087.3798462117</c:v>
                </c:pt>
                <c:pt idx="19">
                  <c:v>279913.64489354176</c:v>
                </c:pt>
                <c:pt idx="20">
                  <c:v>281381.19982370723</c:v>
                </c:pt>
                <c:pt idx="21">
                  <c:v>282511.80897528818</c:v>
                </c:pt>
                <c:pt idx="22">
                  <c:v>283326.09552761872</c:v>
                </c:pt>
                <c:pt idx="23">
                  <c:v>283843.60166576656</c:v>
                </c:pt>
                <c:pt idx="24">
                  <c:v>284082.84536318155</c:v>
                </c:pt>
                <c:pt idx="25">
                  <c:v>284061.37398854585</c:v>
                </c:pt>
                <c:pt idx="26">
                  <c:v>283795.81492976478</c:v>
                </c:pt>
                <c:pt idx="27">
                  <c:v>283301.92341539118</c:v>
                </c:pt>
                <c:pt idx="28">
                  <c:v>282594.62770200457</c:v>
                </c:pt>
                <c:pt idx="29">
                  <c:v>281688.07178511302</c:v>
                </c:pt>
                <c:pt idx="30">
                  <c:v>280595.65578094264</c:v>
                </c:pt>
                <c:pt idx="31">
                  <c:v>279330.07411698392</c:v>
                </c:pt>
                <c:pt idx="32">
                  <c:v>277903.35166031419</c:v>
                </c:pt>
                <c:pt idx="33">
                  <c:v>276326.87790447532</c:v>
                </c:pt>
                <c:pt idx="34">
                  <c:v>274611.43932800298</c:v>
                </c:pt>
                <c:pt idx="35">
                  <c:v>272767.25003054593</c:v>
                </c:pt>
                <c:pt idx="36">
                  <c:v>270803.98074583797</c:v>
                </c:pt>
                <c:pt idx="37">
                  <c:v>268730.78632456152</c:v>
                </c:pt>
                <c:pt idx="38">
                  <c:v>266556.33177433611</c:v>
                </c:pt>
                <c:pt idx="39">
                  <c:v>264288.8169386473</c:v>
                </c:pt>
                <c:pt idx="40">
                  <c:v>261935.99989147627</c:v>
                </c:pt>
                <c:pt idx="41">
                  <c:v>259505.21911967109</c:v>
                </c:pt>
                <c:pt idx="42">
                  <c:v>257003.41456069425</c:v>
                </c:pt>
                <c:pt idx="43">
                  <c:v>254437.14755926392</c:v>
                </c:pt>
                <c:pt idx="44">
                  <c:v>251812.61980256226</c:v>
                </c:pt>
                <c:pt idx="45">
                  <c:v>249135.69129008907</c:v>
                </c:pt>
                <c:pt idx="46">
                  <c:v>246411.89739087995</c:v>
                </c:pt>
                <c:pt idx="47">
                  <c:v>243646.46503766684</c:v>
                </c:pt>
                <c:pt idx="48">
                  <c:v>240844.32810461978</c:v>
                </c:pt>
                <c:pt idx="49">
                  <c:v>238010.14201255952</c:v>
                </c:pt>
                <c:pt idx="50">
                  <c:v>235148.29760295697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2E-4899-A507-BB1DDC4BFDD8}"/>
            </c:ext>
          </c:extLst>
        </c:ser>
        <c:ser>
          <c:idx val="4"/>
          <c:order val="4"/>
          <c:tx>
            <c:strRef>
              <c:f>'Population Scenario'!$E$1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Scenario'!$E$2:$E$52</c:f>
              <c:numCache>
                <c:formatCode>General</c:formatCode>
                <c:ptCount val="51"/>
                <c:pt idx="0">
                  <c:v>850000</c:v>
                </c:pt>
                <c:pt idx="1">
                  <c:v>843800</c:v>
                </c:pt>
                <c:pt idx="2">
                  <c:v>841867.7</c:v>
                </c:pt>
                <c:pt idx="3">
                  <c:v>839310.14980000001</c:v>
                </c:pt>
                <c:pt idx="4">
                  <c:v>836170.64202270005</c:v>
                </c:pt>
                <c:pt idx="5">
                  <c:v>832490.06788257987</c:v>
                </c:pt>
                <c:pt idx="6">
                  <c:v>828307.04928710614</c:v>
                </c:pt>
                <c:pt idx="7">
                  <c:v>823658.06322827446</c:v>
                </c:pt>
                <c:pt idx="8">
                  <c:v>818577.55895004317</c:v>
                </c:pt>
                <c:pt idx="9">
                  <c:v>813098.06834453135</c:v>
                </c:pt>
                <c:pt idx="10">
                  <c:v>807250.30999947968</c:v>
                </c:pt>
                <c:pt idx="11">
                  <c:v>801063.28729123366</c:v>
                </c:pt>
                <c:pt idx="12">
                  <c:v>794564.38089125161</c:v>
                </c:pt>
                <c:pt idx="13">
                  <c:v>787779.43602973595</c:v>
                </c:pt>
                <c:pt idx="14">
                  <c:v>780732.84483726439</c:v>
                </c:pt>
                <c:pt idx="15">
                  <c:v>773447.62406418705</c:v>
                </c:pt>
                <c:pt idx="16">
                  <c:v>765945.48845789139</c:v>
                </c:pt>
                <c:pt idx="17">
                  <c:v>758246.92005974683</c:v>
                </c:pt>
                <c:pt idx="18">
                  <c:v>750371.233666518</c:v>
                </c:pt>
                <c:pt idx="19">
                  <c:v>742336.63868517336</c:v>
                </c:pt>
                <c:pt idx="20">
                  <c:v>734160.29759526439</c:v>
                </c:pt>
                <c:pt idx="21">
                  <c:v>725858.38121929008</c:v>
                </c:pt>
                <c:pt idx="22">
                  <c:v>717446.12098865374</c:v>
                </c:pt>
                <c:pt idx="23">
                  <c:v>708937.8583808823</c:v>
                </c:pt>
                <c:pt idx="24">
                  <c:v>700347.09169264918</c:v>
                </c:pt>
                <c:pt idx="25">
                  <c:v>691686.52030276263</c:v>
                </c:pt>
                <c:pt idx="26">
                  <c:v>682968.08656961587</c:v>
                </c:pt>
                <c:pt idx="27">
                  <c:v>674203.01549855992</c:v>
                </c:pt>
                <c:pt idx="28">
                  <c:v>665401.85230624909</c:v>
                </c:pt>
                <c:pt idx="29">
                  <c:v>656574.49800114171</c:v>
                </c:pt>
                <c:pt idx="30">
                  <c:v>647730.2430920105</c:v>
                </c:pt>
                <c:pt idx="31">
                  <c:v>638877.79952946329</c:v>
                </c:pt>
                <c:pt idx="32">
                  <c:v>630025.33097907412</c:v>
                </c:pt>
                <c:pt idx="33">
                  <c:v>621180.48151875054</c:v>
                </c:pt>
                <c:pt idx="34">
                  <c:v>612350.40284737665</c:v>
                </c:pt>
                <c:pt idx="35">
                  <c:v>603541.78008654446</c:v>
                </c:pt>
                <c:pt idx="36">
                  <c:v>594760.856252308</c:v>
                </c:pt>
                <c:pt idx="37">
                  <c:v>586013.45546932123</c:v>
                </c:pt>
                <c:pt idx="38">
                  <c:v>577305.00499545212</c:v>
                </c:pt>
                <c:pt idx="39">
                  <c:v>568640.55612096074</c:v>
                </c:pt>
                <c:pt idx="40">
                  <c:v>560024.8040025857</c:v>
                </c:pt>
                <c:pt idx="41">
                  <c:v>551462.10648937535</c:v>
                </c:pt>
                <c:pt idx="42">
                  <c:v>542956.50199381658</c:v>
                </c:pt>
                <c:pt idx="43">
                  <c:v>534511.72645872994</c:v>
                </c:pt>
                <c:pt idx="44">
                  <c:v>526131.22946751886</c:v>
                </c:pt>
                <c:pt idx="45">
                  <c:v>517818.18954264943</c:v>
                </c:pt>
                <c:pt idx="46">
                  <c:v>509575.52867470181</c:v>
                </c:pt>
                <c:pt idx="47">
                  <c:v>501405.92612194887</c:v>
                </c:pt>
                <c:pt idx="48">
                  <c:v>493311.83151818428</c:v>
                </c:pt>
                <c:pt idx="49">
                  <c:v>485295.47732442018</c:v>
                </c:pt>
                <c:pt idx="50">
                  <c:v>477358.8906581034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2E-4899-A507-BB1DDC4BF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2096"/>
        <c:axId val="1358403232"/>
      </c:lineChart>
      <c:catAx>
        <c:axId val="135763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03232"/>
        <c:crosses val="autoZero"/>
        <c:auto val="1"/>
        <c:lblAlgn val="ctr"/>
        <c:lblOffset val="100"/>
        <c:noMultiLvlLbl val="0"/>
      </c:catAx>
      <c:valAx>
        <c:axId val="13584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3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Worker to Retiree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Scenario'!$A$1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C-40AB-88E4-41B3A1D18129}"/>
            </c:ext>
          </c:extLst>
        </c:ser>
        <c:ser>
          <c:idx val="1"/>
          <c:order val="1"/>
          <c:tx>
            <c:v>Worker-Retiree Ratio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Scenario'!$F$2:$F$52</c:f>
              <c:numCache>
                <c:formatCode>General</c:formatCode>
                <c:ptCount val="51"/>
                <c:pt idx="0">
                  <c:v>3.3333333333333335</c:v>
                </c:pt>
                <c:pt idx="1">
                  <c:v>2.9420731707317072</c:v>
                </c:pt>
                <c:pt idx="2">
                  <c:v>2.6629653728640941</c:v>
                </c:pt>
                <c:pt idx="3">
                  <c:v>2.4361030443536089</c:v>
                </c:pt>
                <c:pt idx="4">
                  <c:v>2.2481623632906067</c:v>
                </c:pt>
                <c:pt idx="5">
                  <c:v>2.0899920406843684</c:v>
                </c:pt>
                <c:pt idx="6">
                  <c:v>1.9550986754725914</c:v>
                </c:pt>
                <c:pt idx="7">
                  <c:v>1.8387472337193718</c:v>
                </c:pt>
                <c:pt idx="8">
                  <c:v>1.7374036801104944</c:v>
                </c:pt>
                <c:pt idx="9">
                  <c:v>1.6483769776585628</c:v>
                </c:pt>
                <c:pt idx="10">
                  <c:v>1.56958193788921</c:v>
                </c:pt>
                <c:pt idx="11">
                  <c:v>1.4993778617824183</c:v>
                </c:pt>
                <c:pt idx="12">
                  <c:v>1.4364561415949844</c:v>
                </c:pt>
                <c:pt idx="13">
                  <c:v>1.3797603257675142</c:v>
                </c:pt>
                <c:pt idx="14">
                  <c:v>1.3284282105741472</c:v>
                </c:pt>
                <c:pt idx="15">
                  <c:v>1.2817491882208933</c:v>
                </c:pt>
                <c:pt idx="16">
                  <c:v>1.2391323593117121</c:v>
                </c:pt>
                <c:pt idx="17">
                  <c:v>1.200082368177406</c:v>
                </c:pt>
                <c:pt idx="18">
                  <c:v>1.1641808636138038</c:v>
                </c:pt>
                <c:pt idx="19">
                  <c:v>1.1310721142875724</c:v>
                </c:pt>
                <c:pt idx="20">
                  <c:v>1.1004517316978986</c:v>
                </c:pt>
                <c:pt idx="21">
                  <c:v>1.0720577447084503</c:v>
                </c:pt>
                <c:pt idx="22">
                  <c:v>1.0456634727895537</c:v>
                </c:pt>
                <c:pt idx="23">
                  <c:v>1.0210717888311531</c:v>
                </c:pt>
                <c:pt idx="24">
                  <c:v>0.99811046539890014</c:v>
                </c:pt>
                <c:pt idx="25">
                  <c:v>0.97662837302971817</c:v>
                </c:pt>
                <c:pt idx="26">
                  <c:v>0.95649235397499877</c:v>
                </c:pt>
                <c:pt idx="27">
                  <c:v>0.9375846354253714</c:v>
                </c:pt>
                <c:pt idx="28">
                  <c:v>0.9198006766562169</c:v>
                </c:pt>
                <c:pt idx="29">
                  <c:v>0.90304736749700887</c:v>
                </c:pt>
                <c:pt idx="30">
                  <c:v>0.8872415130201865</c:v>
                </c:pt>
                <c:pt idx="31">
                  <c:v>0.87230855277758124</c:v>
                </c:pt>
                <c:pt idx="32">
                  <c:v>0.858181473305345</c:v>
                </c:pt>
                <c:pt idx="33">
                  <c:v>0.84479988071723744</c:v>
                </c:pt>
                <c:pt idx="34">
                  <c:v>0.83210920656019516</c:v>
                </c:pt>
                <c:pt idx="35">
                  <c:v>0.82006002512323983</c:v>
                </c:pt>
                <c:pt idx="36">
                  <c:v>0.80860746437639464</c:v>
                </c:pt>
                <c:pt idx="37">
                  <c:v>0.79771069590076815</c:v>
                </c:pt>
                <c:pt idx="38">
                  <c:v>0.7873324917293244</c:v>
                </c:pt>
                <c:pt idx="39">
                  <c:v>0.77743883808397851</c:v>
                </c:pt>
                <c:pt idx="40">
                  <c:v>0.76799859767154088</c:v>
                </c:pt>
                <c:pt idx="41">
                  <c:v>0.75898321356851339</c:v>
                </c:pt>
                <c:pt idx="42">
                  <c:v>0.75036644884495418</c:v>
                </c:pt>
                <c:pt idx="43">
                  <c:v>0.74212415699929113</c:v>
                </c:pt>
                <c:pt idx="44">
                  <c:v>0.73423407903741311</c:v>
                </c:pt>
                <c:pt idx="45">
                  <c:v>0.72667566366097303</c:v>
                </c:pt>
                <c:pt idx="46">
                  <c:v>0.71942990755572689</c:v>
                </c:pt>
                <c:pt idx="47">
                  <c:v>0.71247921321022989</c:v>
                </c:pt>
                <c:pt idx="48">
                  <c:v>0.70580726206378319</c:v>
                </c:pt>
                <c:pt idx="49">
                  <c:v>0.69939890109267489</c:v>
                </c:pt>
                <c:pt idx="50">
                  <c:v>0.69324004120560423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C-40AB-88E4-41B3A1D18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812720"/>
        <c:axId val="1351671168"/>
      </c:lineChart>
      <c:catAx>
        <c:axId val="129381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71168"/>
        <c:crosses val="autoZero"/>
        <c:auto val="1"/>
        <c:lblAlgn val="ctr"/>
        <c:lblOffset val="100"/>
        <c:noMultiLvlLbl val="0"/>
      </c:catAx>
      <c:valAx>
        <c:axId val="13516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Dependency Ratio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Scenario'!$A$1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0-4BA6-95B9-9339D2CE5989}"/>
            </c:ext>
          </c:extLst>
        </c:ser>
        <c:ser>
          <c:idx val="1"/>
          <c:order val="1"/>
          <c:tx>
            <c:v>DR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Scenario'!$G$2:$G$52</c:f>
              <c:numCache>
                <c:formatCode>General</c:formatCode>
                <c:ptCount val="51"/>
                <c:pt idx="0">
                  <c:v>0.7</c:v>
                </c:pt>
                <c:pt idx="1">
                  <c:v>0.74880829015544037</c:v>
                </c:pt>
                <c:pt idx="2">
                  <c:v>0.7887245897982057</c:v>
                </c:pt>
                <c:pt idx="3">
                  <c:v>0.82777835470894057</c:v>
                </c:pt>
                <c:pt idx="4">
                  <c:v>0.86597802295494419</c:v>
                </c:pt>
                <c:pt idx="5">
                  <c:v>0.90333316665469954</c:v>
                </c:pt>
                <c:pt idx="6">
                  <c:v>0.93985435818485619</c:v>
                </c:pt>
                <c:pt idx="7">
                  <c:v>0.9755530448732036</c:v>
                </c:pt>
                <c:pt idx="8">
                  <c:v>1.0104414321126742</c:v>
                </c:pt>
                <c:pt idx="9">
                  <c:v>1.0445323747558153</c:v>
                </c:pt>
                <c:pt idx="10">
                  <c:v>1.077839276586807</c:v>
                </c:pt>
                <c:pt idx="11">
                  <c:v>1.1103759976177638</c:v>
                </c:pt>
                <c:pt idx="12">
                  <c:v>1.1421567689164704</c:v>
                </c:pt>
                <c:pt idx="13">
                  <c:v>1.1731961146426628</c:v>
                </c:pt>
                <c:pt idx="14">
                  <c:v>1.2035087809483265</c:v>
                </c:pt>
                <c:pt idx="15">
                  <c:v>1.2331096713831109</c:v>
                </c:pt>
                <c:pt idx="16">
                  <c:v>1.2620137884378737</c:v>
                </c:pt>
                <c:pt idx="17">
                  <c:v>1.290236180856593</c:v>
                </c:pt>
                <c:pt idx="18">
                  <c:v>1.3177918963485913</c:v>
                </c:pt>
                <c:pt idx="19">
                  <c:v>1.3446959393383946</c:v>
                </c:pt>
                <c:pt idx="20">
                  <c:v>1.370963233398953</c:v>
                </c:pt>
                <c:pt idx="21">
                  <c:v>1.3966085880247343</c:v>
                </c:pt>
                <c:pt idx="22">
                  <c:v>1.4216466694138234</c:v>
                </c:pt>
                <c:pt idx="23">
                  <c:v>1.4460919749422072</c:v>
                </c:pt>
                <c:pt idx="24">
                  <c:v>1.4699588110283974</c:v>
                </c:pt>
                <c:pt idx="25">
                  <c:v>1.4932612741022151</c:v>
                </c:pt>
                <c:pt idx="26">
                  <c:v>1.5160132344075254</c:v>
                </c:pt>
                <c:pt idx="27">
                  <c:v>1.5382283223848212</c:v>
                </c:pt>
                <c:pt idx="28">
                  <c:v>1.55991991739553</c:v>
                </c:pt>
                <c:pt idx="29">
                  <c:v>1.5811011385656824</c:v>
                </c:pt>
                <c:pt idx="30">
                  <c:v>1.6017848375418915</c:v>
                </c:pt>
                <c:pt idx="31">
                  <c:v>1.6219835929674733</c:v>
                </c:pt>
                <c:pt idx="32">
                  <c:v>1.6417097065008062</c:v>
                </c:pt>
                <c:pt idx="33">
                  <c:v>1.6609752002116911</c:v>
                </c:pt>
                <c:pt idx="34">
                  <c:v>1.6797918152044691</c:v>
                </c:pt>
                <c:pt idx="35">
                  <c:v>1.6981710113289472</c:v>
                </c:pt>
                <c:pt idx="36">
                  <c:v>1.7161239678518094</c:v>
                </c:pt>
                <c:pt idx="37">
                  <c:v>1.7336615849720787</c:v>
                </c:pt>
                <c:pt idx="38">
                  <c:v>1.750794486074424</c:v>
                </c:pt>
                <c:pt idx="39">
                  <c:v>1.7675330206236384</c:v>
                </c:pt>
                <c:pt idx="40">
                  <c:v>1.7838872676124959</c:v>
                </c:pt>
                <c:pt idx="41">
                  <c:v>1.7998670394834373</c:v>
                </c:pt>
                <c:pt idx="42">
                  <c:v>1.8154818864521716</c:v>
                </c:pt>
                <c:pt idx="43">
                  <c:v>1.8307411011683377</c:v>
                </c:pt>
                <c:pt idx="44">
                  <c:v>1.8456537236548702</c:v>
                </c:pt>
                <c:pt idx="45">
                  <c:v>1.8602285464736956</c:v>
                </c:pt>
                <c:pt idx="46">
                  <c:v>1.8744741200708894</c:v>
                </c:pt>
                <c:pt idx="47">
                  <c:v>1.8883987582594404</c:v>
                </c:pt>
                <c:pt idx="48">
                  <c:v>1.9020105438023895</c:v>
                </c:pt>
                <c:pt idx="49">
                  <c:v>1.9153173340632987</c:v>
                </c:pt>
                <c:pt idx="50">
                  <c:v>1.9283267666948392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0-4BA6-95B9-9339D2CE5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76128"/>
        <c:axId val="1451570848"/>
      </c:lineChart>
      <c:catAx>
        <c:axId val="145157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70848"/>
        <c:crosses val="autoZero"/>
        <c:auto val="1"/>
        <c:lblAlgn val="ctr"/>
        <c:lblOffset val="100"/>
        <c:noMultiLvlLbl val="0"/>
      </c:catAx>
      <c:valAx>
        <c:axId val="14515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7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By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7-4419-84DB-145C1297D36D}"/>
            </c:ext>
          </c:extLst>
        </c:ser>
        <c:ser>
          <c:idx val="1"/>
          <c:order val="1"/>
          <c:tx>
            <c:strRef>
              <c:f>'Population Data'!$B$1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Data'!$B$2:$B$52</c:f>
              <c:numCache>
                <c:formatCode>General</c:formatCode>
                <c:ptCount val="51"/>
                <c:pt idx="0">
                  <c:v>200000</c:v>
                </c:pt>
                <c:pt idx="1">
                  <c:v>199800</c:v>
                </c:pt>
                <c:pt idx="2">
                  <c:v>199360.2</c:v>
                </c:pt>
                <c:pt idx="3">
                  <c:v>198703.8798</c:v>
                </c:pt>
                <c:pt idx="4">
                  <c:v>197852.39488019998</c:v>
                </c:pt>
                <c:pt idx="5">
                  <c:v>196825.33098835978</c:v>
                </c:pt>
                <c:pt idx="6">
                  <c:v>195640.6463787664</c:v>
                </c:pt>
                <c:pt idx="7">
                  <c:v>194314.80268806402</c:v>
                </c:pt>
                <c:pt idx="8">
                  <c:v>192862.88535460862</c:v>
                </c:pt>
                <c:pt idx="9">
                  <c:v>191298.71441568385</c:v>
                </c:pt>
                <c:pt idx="10">
                  <c:v>189634.94645036166</c:v>
                </c:pt>
                <c:pt idx="11">
                  <c:v>187883.16837454209</c:v>
                </c:pt>
                <c:pt idx="12">
                  <c:v>186053.98373834798</c:v>
                </c:pt>
                <c:pt idx="13">
                  <c:v>184157.09212418346</c:v>
                </c:pt>
                <c:pt idx="14">
                  <c:v>182201.36219603757</c:v>
                </c:pt>
                <c:pt idx="15">
                  <c:v>180194.89890669286</c:v>
                </c:pt>
                <c:pt idx="16">
                  <c:v>178145.10532908139</c:v>
                </c:pt>
                <c:pt idx="17">
                  <c:v>176058.73954083645</c:v>
                </c:pt>
                <c:pt idx="18">
                  <c:v>173941.96695686187</c:v>
                </c:pt>
                <c:pt idx="19">
                  <c:v>171800.40847324344</c:v>
                </c:pt>
                <c:pt idx="20">
                  <c:v>169639.18475684326</c:v>
                </c:pt>
                <c:pt idx="21">
                  <c:v>167462.95698824467</c:v>
                </c:pt>
                <c:pt idx="22">
                  <c:v>165275.96434117141</c:v>
                </c:pt>
                <c:pt idx="23">
                  <c:v>163082.0584589174</c:v>
                </c:pt>
                <c:pt idx="24">
                  <c:v>160884.73516753796</c:v>
                </c:pt>
                <c:pt idx="25">
                  <c:v>158687.16364642663</c:v>
                </c:pt>
                <c:pt idx="26">
                  <c:v>156492.21325930007</c:v>
                </c:pt>
                <c:pt idx="27">
                  <c:v>154302.47823241551</c:v>
                </c:pt>
                <c:pt idx="28">
                  <c:v>152120.30035194106</c:v>
                </c:pt>
                <c:pt idx="29">
                  <c:v>149947.7898386812</c:v>
                </c:pt>
                <c:pt idx="30">
                  <c:v>147786.84454573851</c:v>
                </c:pt>
                <c:pt idx="31">
                  <c:v>145639.16761307724</c:v>
                </c:pt>
                <c:pt idx="32">
                  <c:v>143506.28370226469</c:v>
                </c:pt>
                <c:pt idx="33">
                  <c:v>141389.55392483121</c:v>
                </c:pt>
                <c:pt idx="34">
                  <c:v>139290.18956863697</c:v>
                </c:pt>
                <c:pt idx="35">
                  <c:v>137209.26471830471</c:v>
                </c:pt>
                <c:pt idx="36">
                  <c:v>135147.72785811292</c:v>
                </c:pt>
                <c:pt idx="37">
                  <c:v>133106.41253868939</c:v>
                </c:pt>
                <c:pt idx="38">
                  <c:v>131086.04718235423</c:v>
                </c:pt>
                <c:pt idx="39">
                  <c:v>129087.26409598964</c:v>
                </c:pt>
                <c:pt idx="40">
                  <c:v>127110.6077548149</c:v>
                </c:pt>
                <c:pt idx="41">
                  <c:v>125156.54241538864</c:v>
                </c:pt>
                <c:pt idx="42">
                  <c:v>123225.45911150481</c:v>
                </c:pt>
                <c:pt idx="43">
                  <c:v>121317.68208236589</c:v>
                </c:pt>
                <c:pt idx="44">
                  <c:v>119433.47467847491</c:v>
                </c:pt>
                <c:pt idx="45">
                  <c:v>117573.04478706082</c:v>
                </c:pt>
                <c:pt idx="46">
                  <c:v>115736.54981551383</c:v>
                </c:pt>
                <c:pt idx="47">
                  <c:v>113924.10126823613</c:v>
                </c:pt>
                <c:pt idx="48">
                  <c:v>112135.768949486</c:v>
                </c:pt>
                <c:pt idx="49">
                  <c:v>110371.58482219349</c:v>
                </c:pt>
                <c:pt idx="50">
                  <c:v>108631.54655033149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7-4419-84DB-145C1297D36D}"/>
            </c:ext>
          </c:extLst>
        </c:ser>
        <c:ser>
          <c:idx val="2"/>
          <c:order val="2"/>
          <c:tx>
            <c:strRef>
              <c:f>'Population Data'!$C$1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487500</c:v>
                </c:pt>
                <c:pt idx="2">
                  <c:v>475552.5</c:v>
                </c:pt>
                <c:pt idx="3">
                  <c:v>464120.64750000002</c:v>
                </c:pt>
                <c:pt idx="4">
                  <c:v>453170.41235250002</c:v>
                </c:pt>
                <c:pt idx="5">
                  <c:v>442670.36354064755</c:v>
                </c:pt>
                <c:pt idx="6">
                  <c:v>432591.4637307364</c:v>
                </c:pt>
                <c:pt idx="7">
                  <c:v>422906.88018179155</c:v>
                </c:pt>
                <c:pt idx="8">
                  <c:v>413591.81070801412</c:v>
                </c:pt>
                <c:pt idx="9">
                  <c:v>404623.32349388389</c:v>
                </c:pt>
                <c:pt idx="10">
                  <c:v>395980.20965744328</c:v>
                </c:pt>
                <c:pt idx="11">
                  <c:v>387642.8475453764</c:v>
                </c:pt>
                <c:pt idx="12">
                  <c:v>379593.07782456157</c:v>
                </c:pt>
                <c:pt idx="13">
                  <c:v>371814.08850937372</c:v>
                </c:pt>
                <c:pt idx="14">
                  <c:v>364290.30913266103</c:v>
                </c:pt>
                <c:pt idx="15">
                  <c:v>357007.31333149318</c:v>
                </c:pt>
                <c:pt idx="16">
                  <c:v>349951.72917691059</c:v>
                </c:pt>
                <c:pt idx="17">
                  <c:v>343111.15663040365</c:v>
                </c:pt>
                <c:pt idx="18">
                  <c:v>336474.09155907732</c:v>
                </c:pt>
                <c:pt idx="19">
                  <c:v>330029.85578676191</c:v>
                </c:pt>
                <c:pt idx="20">
                  <c:v>323768.53270001977</c:v>
                </c:pt>
                <c:pt idx="21">
                  <c:v>317680.90796636103</c:v>
                </c:pt>
                <c:pt idx="22">
                  <c:v>311758.41495728702</c:v>
                </c:pt>
                <c:pt idx="23">
                  <c:v>305993.0845012677</c:v>
                </c:pt>
                <c:pt idx="24">
                  <c:v>300377.49862165656</c:v>
                </c:pt>
                <c:pt idx="25">
                  <c:v>294904.74794205889</c:v>
                </c:pt>
                <c:pt idx="26">
                  <c:v>289568.3924669876</c:v>
                </c:pt>
                <c:pt idx="27">
                  <c:v>284362.42546893813</c:v>
                </c:pt>
                <c:pt idx="28">
                  <c:v>279281.24023445667</c:v>
                </c:pt>
                <c:pt idx="29">
                  <c:v>274319.59944150317</c:v>
                </c:pt>
                <c:pt idx="30">
                  <c:v>269472.60695856955</c:v>
                </c:pt>
                <c:pt idx="31">
                  <c:v>264735.68187272089</c:v>
                </c:pt>
                <c:pt idx="32">
                  <c:v>260104.53456910231</c:v>
                </c:pt>
                <c:pt idx="33">
                  <c:v>255575.1446986059</c:v>
                </c:pt>
                <c:pt idx="34">
                  <c:v>251143.74088341018</c:v>
                </c:pt>
                <c:pt idx="35">
                  <c:v>246806.78202208856</c:v>
                </c:pt>
                <c:pt idx="36">
                  <c:v>242560.9400670098</c:v>
                </c:pt>
                <c:pt idx="37">
                  <c:v>238403.0841569</c:v>
                </c:pt>
                <c:pt idx="38">
                  <c:v>234330.26599677396</c:v>
                </c:pt>
                <c:pt idx="39">
                  <c:v>230339.70638603685</c:v>
                </c:pt>
                <c:pt idx="40">
                  <c:v>226428.78280346465</c:v>
                </c:pt>
                <c:pt idx="41">
                  <c:v>222595.01796504948</c:v>
                </c:pt>
                <c:pt idx="42">
                  <c:v>218836.06927739168</c:v>
                </c:pt>
                <c:pt idx="43">
                  <c:v>215149.71911548427</c:v>
                </c:pt>
                <c:pt idx="44">
                  <c:v>211533.86585940578</c:v>
                </c:pt>
                <c:pt idx="45">
                  <c:v>207986.51562965626</c:v>
                </c:pt>
                <c:pt idx="46">
                  <c:v>204505.77466567478</c:v>
                </c:pt>
                <c:pt idx="47">
                  <c:v>201089.8422964951</c:v>
                </c:pt>
                <c:pt idx="48">
                  <c:v>197737.00445656464</c:v>
                </c:pt>
                <c:pt idx="49">
                  <c:v>194445.62770349355</c:v>
                </c:pt>
                <c:pt idx="50">
                  <c:v>191214.15369794599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7-4419-84DB-145C1297D36D}"/>
            </c:ext>
          </c:extLst>
        </c:ser>
        <c:ser>
          <c:idx val="3"/>
          <c:order val="3"/>
          <c:tx>
            <c:strRef>
              <c:f>'Population Data'!$D$1</c:f>
              <c:strCache>
                <c:ptCount val="1"/>
                <c:pt idx="0">
                  <c:v>Retired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Data'!$D$2:$D$52</c:f>
              <c:numCache>
                <c:formatCode>General</c:formatCode>
                <c:ptCount val="51"/>
                <c:pt idx="0">
                  <c:v>150000</c:v>
                </c:pt>
                <c:pt idx="1">
                  <c:v>164000</c:v>
                </c:pt>
                <c:pt idx="2">
                  <c:v>176940</c:v>
                </c:pt>
                <c:pt idx="3">
                  <c:v>188884.5</c:v>
                </c:pt>
                <c:pt idx="4">
                  <c:v>199893.94589999999</c:v>
                </c:pt>
                <c:pt idx="5">
                  <c:v>210025.00455809999</c:v>
                </c:pt>
                <c:pt idx="6">
                  <c:v>219330.81891740189</c:v>
                </c:pt>
                <c:pt idx="7">
                  <c:v>227861.24470993527</c:v>
                </c:pt>
                <c:pt idx="8">
                  <c:v>235663.07012880952</c:v>
                </c:pt>
                <c:pt idx="9">
                  <c:v>242780.21975197771</c:v>
                </c:pt>
                <c:pt idx="10">
                  <c:v>249253.94390165395</c:v>
                </c:pt>
                <c:pt idx="11">
                  <c:v>255122.99453188552</c:v>
                </c:pt>
                <c:pt idx="12">
                  <c:v>260423.78865242514</c:v>
                </c:pt>
                <c:pt idx="13">
                  <c:v>265190.56021931057</c:v>
                </c:pt>
                <c:pt idx="14">
                  <c:v>269455.50135091314</c:v>
                </c:pt>
                <c:pt idx="15">
                  <c:v>273248.89366218302</c:v>
                </c:pt>
                <c:pt idx="16">
                  <c:v>276599.23044895544</c:v>
                </c:pt>
                <c:pt idx="17">
                  <c:v>279533.33039807365</c:v>
                </c:pt>
                <c:pt idx="18">
                  <c:v>282076.44344736688</c:v>
                </c:pt>
                <c:pt idx="19">
                  <c:v>284252.3493718353</c:v>
                </c:pt>
                <c:pt idx="20">
                  <c:v>286083.44962843234</c:v>
                </c:pt>
                <c:pt idx="21">
                  <c:v>287590.85295129585</c:v>
                </c:pt>
                <c:pt idx="22">
                  <c:v>288794.45515189844</c:v>
                </c:pt>
                <c:pt idx="23">
                  <c:v>289713.01354411396</c:v>
                </c:pt>
                <c:pt idx="24">
                  <c:v>290364.21638240013</c:v>
                </c:pt>
                <c:pt idx="25">
                  <c:v>290764.7476719704</c:v>
                </c:pt>
                <c:pt idx="26">
                  <c:v>290930.34768277395</c:v>
                </c:pt>
                <c:pt idx="27">
                  <c:v>290875.8694741425</c:v>
                </c:pt>
                <c:pt idx="28">
                  <c:v>290615.33171393431</c:v>
                </c:pt>
                <c:pt idx="29">
                  <c:v>290161.96805475524</c:v>
                </c:pt>
                <c:pt idx="30">
                  <c:v>289528.27331022517</c:v>
                </c:pt>
                <c:pt idx="31">
                  <c:v>288726.04665615893</c:v>
                </c:pt>
                <c:pt idx="32">
                  <c:v>287766.43206482136</c:v>
                </c:pt>
                <c:pt idx="33">
                  <c:v>286659.95616499259</c:v>
                </c:pt>
                <c:pt idx="34">
                  <c:v>285416.56370633713</c:v>
                </c:pt>
                <c:pt idx="35">
                  <c:v>284045.65079342003</c:v>
                </c:pt>
                <c:pt idx="36">
                  <c:v>282556.09604256676</c:v>
                </c:pt>
                <c:pt idx="37">
                  <c:v>280956.28980354453</c:v>
                </c:pt>
                <c:pt idx="38">
                  <c:v>279254.16157767869</c:v>
                </c:pt>
                <c:pt idx="39">
                  <c:v>277457.20575444249</c:v>
                </c:pt>
                <c:pt idx="40">
                  <c:v>275572.50577970623</c:v>
                </c:pt>
                <c:pt idx="41">
                  <c:v>273606.75686065661</c:v>
                </c:pt>
                <c:pt idx="42">
                  <c:v>271566.28730483231</c:v>
                </c:pt>
                <c:pt idx="43">
                  <c:v>269457.07858373469</c:v>
                </c:pt>
                <c:pt idx="44">
                  <c:v>267284.78420500469</c:v>
                </c:pt>
                <c:pt idx="45">
                  <c:v>265054.74747118074</c:v>
                </c:pt>
                <c:pt idx="46">
                  <c:v>262772.01819751976</c:v>
                </c:pt>
                <c:pt idx="47">
                  <c:v>260441.36845624595</c:v>
                </c:pt>
                <c:pt idx="48">
                  <c:v>258067.30740985594</c:v>
                </c:pt>
                <c:pt idx="49">
                  <c:v>255654.09529172428</c:v>
                </c:pt>
                <c:pt idx="50">
                  <c:v>253205.75658819504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7-4419-84DB-145C1297D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778992"/>
        <c:axId val="1420765072"/>
      </c:lineChart>
      <c:catAx>
        <c:axId val="142077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65072"/>
        <c:crosses val="autoZero"/>
        <c:auto val="1"/>
        <c:lblAlgn val="ctr"/>
        <c:lblOffset val="100"/>
        <c:noMultiLvlLbl val="0"/>
      </c:catAx>
      <c:valAx>
        <c:axId val="14207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4-44EC-8B00-1B477EAAEAF0}"/>
            </c:ext>
          </c:extLst>
        </c:ser>
        <c:ser>
          <c:idx val="1"/>
          <c:order val="1"/>
          <c:tx>
            <c:strRef>
              <c:f>'Population Data'!$B$1</c:f>
              <c:strCache>
                <c:ptCount val="1"/>
                <c:pt idx="0">
                  <c:v>Youth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Data'!$B$2:$B$52</c:f>
              <c:numCache>
                <c:formatCode>General</c:formatCode>
                <c:ptCount val="51"/>
                <c:pt idx="0">
                  <c:v>200000</c:v>
                </c:pt>
                <c:pt idx="1">
                  <c:v>199800</c:v>
                </c:pt>
                <c:pt idx="2">
                  <c:v>199360.2</c:v>
                </c:pt>
                <c:pt idx="3">
                  <c:v>198703.8798</c:v>
                </c:pt>
                <c:pt idx="4">
                  <c:v>197852.39488019998</c:v>
                </c:pt>
                <c:pt idx="5">
                  <c:v>196825.33098835978</c:v>
                </c:pt>
                <c:pt idx="6">
                  <c:v>195640.6463787664</c:v>
                </c:pt>
                <c:pt idx="7">
                  <c:v>194314.80268806402</c:v>
                </c:pt>
                <c:pt idx="8">
                  <c:v>192862.88535460862</c:v>
                </c:pt>
                <c:pt idx="9">
                  <c:v>191298.71441568385</c:v>
                </c:pt>
                <c:pt idx="10">
                  <c:v>189634.94645036166</c:v>
                </c:pt>
                <c:pt idx="11">
                  <c:v>187883.16837454209</c:v>
                </c:pt>
                <c:pt idx="12">
                  <c:v>186053.98373834798</c:v>
                </c:pt>
                <c:pt idx="13">
                  <c:v>184157.09212418346</c:v>
                </c:pt>
                <c:pt idx="14">
                  <c:v>182201.36219603757</c:v>
                </c:pt>
                <c:pt idx="15">
                  <c:v>180194.89890669286</c:v>
                </c:pt>
                <c:pt idx="16">
                  <c:v>178145.10532908139</c:v>
                </c:pt>
                <c:pt idx="17">
                  <c:v>176058.73954083645</c:v>
                </c:pt>
                <c:pt idx="18">
                  <c:v>173941.96695686187</c:v>
                </c:pt>
                <c:pt idx="19">
                  <c:v>171800.40847324344</c:v>
                </c:pt>
                <c:pt idx="20">
                  <c:v>169639.18475684326</c:v>
                </c:pt>
                <c:pt idx="21">
                  <c:v>167462.95698824467</c:v>
                </c:pt>
                <c:pt idx="22">
                  <c:v>165275.96434117141</c:v>
                </c:pt>
                <c:pt idx="23">
                  <c:v>163082.0584589174</c:v>
                </c:pt>
                <c:pt idx="24">
                  <c:v>160884.73516753796</c:v>
                </c:pt>
                <c:pt idx="25">
                  <c:v>158687.16364642663</c:v>
                </c:pt>
                <c:pt idx="26">
                  <c:v>156492.21325930007</c:v>
                </c:pt>
                <c:pt idx="27">
                  <c:v>154302.47823241551</c:v>
                </c:pt>
                <c:pt idx="28">
                  <c:v>152120.30035194106</c:v>
                </c:pt>
                <c:pt idx="29">
                  <c:v>149947.7898386812</c:v>
                </c:pt>
                <c:pt idx="30">
                  <c:v>147786.84454573851</c:v>
                </c:pt>
                <c:pt idx="31">
                  <c:v>145639.16761307724</c:v>
                </c:pt>
                <c:pt idx="32">
                  <c:v>143506.28370226469</c:v>
                </c:pt>
                <c:pt idx="33">
                  <c:v>141389.55392483121</c:v>
                </c:pt>
                <c:pt idx="34">
                  <c:v>139290.18956863697</c:v>
                </c:pt>
                <c:pt idx="35">
                  <c:v>137209.26471830471</c:v>
                </c:pt>
                <c:pt idx="36">
                  <c:v>135147.72785811292</c:v>
                </c:pt>
                <c:pt idx="37">
                  <c:v>133106.41253868939</c:v>
                </c:pt>
                <c:pt idx="38">
                  <c:v>131086.04718235423</c:v>
                </c:pt>
                <c:pt idx="39">
                  <c:v>129087.26409598964</c:v>
                </c:pt>
                <c:pt idx="40">
                  <c:v>127110.6077548149</c:v>
                </c:pt>
                <c:pt idx="41">
                  <c:v>125156.54241538864</c:v>
                </c:pt>
                <c:pt idx="42">
                  <c:v>123225.45911150481</c:v>
                </c:pt>
                <c:pt idx="43">
                  <c:v>121317.68208236589</c:v>
                </c:pt>
                <c:pt idx="44">
                  <c:v>119433.47467847491</c:v>
                </c:pt>
                <c:pt idx="45">
                  <c:v>117573.04478706082</c:v>
                </c:pt>
                <c:pt idx="46">
                  <c:v>115736.54981551383</c:v>
                </c:pt>
                <c:pt idx="47">
                  <c:v>113924.10126823613</c:v>
                </c:pt>
                <c:pt idx="48">
                  <c:v>112135.768949486</c:v>
                </c:pt>
                <c:pt idx="49">
                  <c:v>110371.58482219349</c:v>
                </c:pt>
                <c:pt idx="50">
                  <c:v>108631.54655033149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4-44EC-8B00-1B477EAAEAF0}"/>
            </c:ext>
          </c:extLst>
        </c:ser>
        <c:ser>
          <c:idx val="2"/>
          <c:order val="2"/>
          <c:tx>
            <c:strRef>
              <c:f>'Population Data'!$C$1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487500</c:v>
                </c:pt>
                <c:pt idx="2">
                  <c:v>475552.5</c:v>
                </c:pt>
                <c:pt idx="3">
                  <c:v>464120.64750000002</c:v>
                </c:pt>
                <c:pt idx="4">
                  <c:v>453170.41235250002</c:v>
                </c:pt>
                <c:pt idx="5">
                  <c:v>442670.36354064755</c:v>
                </c:pt>
                <c:pt idx="6">
                  <c:v>432591.4637307364</c:v>
                </c:pt>
                <c:pt idx="7">
                  <c:v>422906.88018179155</c:v>
                </c:pt>
                <c:pt idx="8">
                  <c:v>413591.81070801412</c:v>
                </c:pt>
                <c:pt idx="9">
                  <c:v>404623.32349388389</c:v>
                </c:pt>
                <c:pt idx="10">
                  <c:v>395980.20965744328</c:v>
                </c:pt>
                <c:pt idx="11">
                  <c:v>387642.8475453764</c:v>
                </c:pt>
                <c:pt idx="12">
                  <c:v>379593.07782456157</c:v>
                </c:pt>
                <c:pt idx="13">
                  <c:v>371814.08850937372</c:v>
                </c:pt>
                <c:pt idx="14">
                  <c:v>364290.30913266103</c:v>
                </c:pt>
                <c:pt idx="15">
                  <c:v>357007.31333149318</c:v>
                </c:pt>
                <c:pt idx="16">
                  <c:v>349951.72917691059</c:v>
                </c:pt>
                <c:pt idx="17">
                  <c:v>343111.15663040365</c:v>
                </c:pt>
                <c:pt idx="18">
                  <c:v>336474.09155907732</c:v>
                </c:pt>
                <c:pt idx="19">
                  <c:v>330029.85578676191</c:v>
                </c:pt>
                <c:pt idx="20">
                  <c:v>323768.53270001977</c:v>
                </c:pt>
                <c:pt idx="21">
                  <c:v>317680.90796636103</c:v>
                </c:pt>
                <c:pt idx="22">
                  <c:v>311758.41495728702</c:v>
                </c:pt>
                <c:pt idx="23">
                  <c:v>305993.0845012677</c:v>
                </c:pt>
                <c:pt idx="24">
                  <c:v>300377.49862165656</c:v>
                </c:pt>
                <c:pt idx="25">
                  <c:v>294904.74794205889</c:v>
                </c:pt>
                <c:pt idx="26">
                  <c:v>289568.3924669876</c:v>
                </c:pt>
                <c:pt idx="27">
                  <c:v>284362.42546893813</c:v>
                </c:pt>
                <c:pt idx="28">
                  <c:v>279281.24023445667</c:v>
                </c:pt>
                <c:pt idx="29">
                  <c:v>274319.59944150317</c:v>
                </c:pt>
                <c:pt idx="30">
                  <c:v>269472.60695856955</c:v>
                </c:pt>
                <c:pt idx="31">
                  <c:v>264735.68187272089</c:v>
                </c:pt>
                <c:pt idx="32">
                  <c:v>260104.53456910231</c:v>
                </c:pt>
                <c:pt idx="33">
                  <c:v>255575.1446986059</c:v>
                </c:pt>
                <c:pt idx="34">
                  <c:v>251143.74088341018</c:v>
                </c:pt>
                <c:pt idx="35">
                  <c:v>246806.78202208856</c:v>
                </c:pt>
                <c:pt idx="36">
                  <c:v>242560.9400670098</c:v>
                </c:pt>
                <c:pt idx="37">
                  <c:v>238403.0841569</c:v>
                </c:pt>
                <c:pt idx="38">
                  <c:v>234330.26599677396</c:v>
                </c:pt>
                <c:pt idx="39">
                  <c:v>230339.70638603685</c:v>
                </c:pt>
                <c:pt idx="40">
                  <c:v>226428.78280346465</c:v>
                </c:pt>
                <c:pt idx="41">
                  <c:v>222595.01796504948</c:v>
                </c:pt>
                <c:pt idx="42">
                  <c:v>218836.06927739168</c:v>
                </c:pt>
                <c:pt idx="43">
                  <c:v>215149.71911548427</c:v>
                </c:pt>
                <c:pt idx="44">
                  <c:v>211533.86585940578</c:v>
                </c:pt>
                <c:pt idx="45">
                  <c:v>207986.51562965626</c:v>
                </c:pt>
                <c:pt idx="46">
                  <c:v>204505.77466567478</c:v>
                </c:pt>
                <c:pt idx="47">
                  <c:v>201089.8422964951</c:v>
                </c:pt>
                <c:pt idx="48">
                  <c:v>197737.00445656464</c:v>
                </c:pt>
                <c:pt idx="49">
                  <c:v>194445.62770349355</c:v>
                </c:pt>
                <c:pt idx="50">
                  <c:v>191214.15369794599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4-44EC-8B00-1B477EAAEAF0}"/>
            </c:ext>
          </c:extLst>
        </c:ser>
        <c:ser>
          <c:idx val="3"/>
          <c:order val="3"/>
          <c:tx>
            <c:strRef>
              <c:f>'Population Data'!$D$1</c:f>
              <c:strCache>
                <c:ptCount val="1"/>
                <c:pt idx="0">
                  <c:v>Retired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Data'!$D$2:$D$52</c:f>
              <c:numCache>
                <c:formatCode>General</c:formatCode>
                <c:ptCount val="51"/>
                <c:pt idx="0">
                  <c:v>150000</c:v>
                </c:pt>
                <c:pt idx="1">
                  <c:v>164000</c:v>
                </c:pt>
                <c:pt idx="2">
                  <c:v>176940</c:v>
                </c:pt>
                <c:pt idx="3">
                  <c:v>188884.5</c:v>
                </c:pt>
                <c:pt idx="4">
                  <c:v>199893.94589999999</c:v>
                </c:pt>
                <c:pt idx="5">
                  <c:v>210025.00455809999</c:v>
                </c:pt>
                <c:pt idx="6">
                  <c:v>219330.81891740189</c:v>
                </c:pt>
                <c:pt idx="7">
                  <c:v>227861.24470993527</c:v>
                </c:pt>
                <c:pt idx="8">
                  <c:v>235663.07012880952</c:v>
                </c:pt>
                <c:pt idx="9">
                  <c:v>242780.21975197771</c:v>
                </c:pt>
                <c:pt idx="10">
                  <c:v>249253.94390165395</c:v>
                </c:pt>
                <c:pt idx="11">
                  <c:v>255122.99453188552</c:v>
                </c:pt>
                <c:pt idx="12">
                  <c:v>260423.78865242514</c:v>
                </c:pt>
                <c:pt idx="13">
                  <c:v>265190.56021931057</c:v>
                </c:pt>
                <c:pt idx="14">
                  <c:v>269455.50135091314</c:v>
                </c:pt>
                <c:pt idx="15">
                  <c:v>273248.89366218302</c:v>
                </c:pt>
                <c:pt idx="16">
                  <c:v>276599.23044895544</c:v>
                </c:pt>
                <c:pt idx="17">
                  <c:v>279533.33039807365</c:v>
                </c:pt>
                <c:pt idx="18">
                  <c:v>282076.44344736688</c:v>
                </c:pt>
                <c:pt idx="19">
                  <c:v>284252.3493718353</c:v>
                </c:pt>
                <c:pt idx="20">
                  <c:v>286083.44962843234</c:v>
                </c:pt>
                <c:pt idx="21">
                  <c:v>287590.85295129585</c:v>
                </c:pt>
                <c:pt idx="22">
                  <c:v>288794.45515189844</c:v>
                </c:pt>
                <c:pt idx="23">
                  <c:v>289713.01354411396</c:v>
                </c:pt>
                <c:pt idx="24">
                  <c:v>290364.21638240013</c:v>
                </c:pt>
                <c:pt idx="25">
                  <c:v>290764.7476719704</c:v>
                </c:pt>
                <c:pt idx="26">
                  <c:v>290930.34768277395</c:v>
                </c:pt>
                <c:pt idx="27">
                  <c:v>290875.8694741425</c:v>
                </c:pt>
                <c:pt idx="28">
                  <c:v>290615.33171393431</c:v>
                </c:pt>
                <c:pt idx="29">
                  <c:v>290161.96805475524</c:v>
                </c:pt>
                <c:pt idx="30">
                  <c:v>289528.27331022517</c:v>
                </c:pt>
                <c:pt idx="31">
                  <c:v>288726.04665615893</c:v>
                </c:pt>
                <c:pt idx="32">
                  <c:v>287766.43206482136</c:v>
                </c:pt>
                <c:pt idx="33">
                  <c:v>286659.95616499259</c:v>
                </c:pt>
                <c:pt idx="34">
                  <c:v>285416.56370633713</c:v>
                </c:pt>
                <c:pt idx="35">
                  <c:v>284045.65079342003</c:v>
                </c:pt>
                <c:pt idx="36">
                  <c:v>282556.09604256676</c:v>
                </c:pt>
                <c:pt idx="37">
                  <c:v>280956.28980354453</c:v>
                </c:pt>
                <c:pt idx="38">
                  <c:v>279254.16157767869</c:v>
                </c:pt>
                <c:pt idx="39">
                  <c:v>277457.20575444249</c:v>
                </c:pt>
                <c:pt idx="40">
                  <c:v>275572.50577970623</c:v>
                </c:pt>
                <c:pt idx="41">
                  <c:v>273606.75686065661</c:v>
                </c:pt>
                <c:pt idx="42">
                  <c:v>271566.28730483231</c:v>
                </c:pt>
                <c:pt idx="43">
                  <c:v>269457.07858373469</c:v>
                </c:pt>
                <c:pt idx="44">
                  <c:v>267284.78420500469</c:v>
                </c:pt>
                <c:pt idx="45">
                  <c:v>265054.74747118074</c:v>
                </c:pt>
                <c:pt idx="46">
                  <c:v>262772.01819751976</c:v>
                </c:pt>
                <c:pt idx="47">
                  <c:v>260441.36845624595</c:v>
                </c:pt>
                <c:pt idx="48">
                  <c:v>258067.30740985594</c:v>
                </c:pt>
                <c:pt idx="49">
                  <c:v>255654.09529172428</c:v>
                </c:pt>
                <c:pt idx="50">
                  <c:v>253205.75658819504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74-44EC-8B00-1B477EAAEAF0}"/>
            </c:ext>
          </c:extLst>
        </c:ser>
        <c:ser>
          <c:idx val="4"/>
          <c:order val="4"/>
          <c:tx>
            <c:strRef>
              <c:f>'Population Data'!$E$1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Data'!$E$2:$E$52</c:f>
              <c:numCache>
                <c:formatCode>General</c:formatCode>
                <c:ptCount val="51"/>
                <c:pt idx="0">
                  <c:v>850000</c:v>
                </c:pt>
                <c:pt idx="1">
                  <c:v>851300</c:v>
                </c:pt>
                <c:pt idx="2">
                  <c:v>851852.7</c:v>
                </c:pt>
                <c:pt idx="3">
                  <c:v>851709.02729999996</c:v>
                </c:pt>
                <c:pt idx="4">
                  <c:v>850916.75313269999</c:v>
                </c:pt>
                <c:pt idx="5">
                  <c:v>849520.69908710732</c:v>
                </c:pt>
                <c:pt idx="6">
                  <c:v>847562.92902690475</c:v>
                </c:pt>
                <c:pt idx="7">
                  <c:v>845082.92757979082</c:v>
                </c:pt>
                <c:pt idx="8">
                  <c:v>842117.76619143225</c:v>
                </c:pt>
                <c:pt idx="9">
                  <c:v>838702.25766154542</c:v>
                </c:pt>
                <c:pt idx="10">
                  <c:v>834869.10000945895</c:v>
                </c:pt>
                <c:pt idx="11">
                  <c:v>830649.01045180392</c:v>
                </c:pt>
                <c:pt idx="12">
                  <c:v>826070.85021533468</c:v>
                </c:pt>
                <c:pt idx="13">
                  <c:v>821161.74085286772</c:v>
                </c:pt>
                <c:pt idx="14">
                  <c:v>815947.17267961171</c:v>
                </c:pt>
                <c:pt idx="15">
                  <c:v>810451.10590036912</c:v>
                </c:pt>
                <c:pt idx="16">
                  <c:v>804696.06495494745</c:v>
                </c:pt>
                <c:pt idx="17">
                  <c:v>798703.22656931379</c:v>
                </c:pt>
                <c:pt idx="18">
                  <c:v>792492.50196330599</c:v>
                </c:pt>
                <c:pt idx="19">
                  <c:v>786082.61363184056</c:v>
                </c:pt>
                <c:pt idx="20">
                  <c:v>779491.16708529531</c:v>
                </c:pt>
                <c:pt idx="21">
                  <c:v>772734.71790590161</c:v>
                </c:pt>
                <c:pt idx="22">
                  <c:v>765828.8344503569</c:v>
                </c:pt>
                <c:pt idx="23">
                  <c:v>758788.15650429903</c:v>
                </c:pt>
                <c:pt idx="24">
                  <c:v>751626.45017159462</c:v>
                </c:pt>
                <c:pt idx="25">
                  <c:v>744356.65926045598</c:v>
                </c:pt>
                <c:pt idx="26">
                  <c:v>736990.95340906165</c:v>
                </c:pt>
                <c:pt idx="27">
                  <c:v>729540.77317549614</c:v>
                </c:pt>
                <c:pt idx="28">
                  <c:v>722016.87230033206</c:v>
                </c:pt>
                <c:pt idx="29">
                  <c:v>714429.35733493965</c:v>
                </c:pt>
                <c:pt idx="30">
                  <c:v>706787.72481453326</c:v>
                </c:pt>
                <c:pt idx="31">
                  <c:v>699100.89614195703</c:v>
                </c:pt>
                <c:pt idx="32">
                  <c:v>691377.25033618836</c:v>
                </c:pt>
                <c:pt idx="33">
                  <c:v>683624.65478842962</c:v>
                </c:pt>
                <c:pt idx="34">
                  <c:v>675850.49415838427</c:v>
                </c:pt>
                <c:pt idx="35">
                  <c:v>668061.69753381331</c:v>
                </c:pt>
                <c:pt idx="36">
                  <c:v>660264.76396768948</c:v>
                </c:pt>
                <c:pt idx="37">
                  <c:v>652465.78649913392</c:v>
                </c:pt>
                <c:pt idx="38">
                  <c:v>644670.47475680686</c:v>
                </c:pt>
                <c:pt idx="39">
                  <c:v>636884.17623646895</c:v>
                </c:pt>
                <c:pt idx="40">
                  <c:v>629111.89633798576</c:v>
                </c:pt>
                <c:pt idx="41">
                  <c:v>621358.31724109477</c:v>
                </c:pt>
                <c:pt idx="42">
                  <c:v>613627.81569372886</c:v>
                </c:pt>
                <c:pt idx="43">
                  <c:v>605924.47978158481</c:v>
                </c:pt>
                <c:pt idx="44">
                  <c:v>598252.12474288535</c:v>
                </c:pt>
                <c:pt idx="45">
                  <c:v>590614.30788789783</c:v>
                </c:pt>
                <c:pt idx="46">
                  <c:v>583014.34267870837</c:v>
                </c:pt>
                <c:pt idx="47">
                  <c:v>575455.31202097714</c:v>
                </c:pt>
                <c:pt idx="48">
                  <c:v>567940.08081590664</c:v>
                </c:pt>
                <c:pt idx="49">
                  <c:v>560471.30781741138</c:v>
                </c:pt>
                <c:pt idx="50">
                  <c:v>553051.4568364725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74-44EC-8B00-1B477EAAE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2096"/>
        <c:axId val="1358403232"/>
      </c:lineChart>
      <c:catAx>
        <c:axId val="135763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03232"/>
        <c:crosses val="autoZero"/>
        <c:auto val="1"/>
        <c:lblAlgn val="ctr"/>
        <c:lblOffset val="100"/>
        <c:noMultiLvlLbl val="0"/>
      </c:catAx>
      <c:valAx>
        <c:axId val="13584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63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Worker to Retiree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4-4D0B-8971-2EC6E022FAFE}"/>
            </c:ext>
          </c:extLst>
        </c:ser>
        <c:ser>
          <c:idx val="1"/>
          <c:order val="1"/>
          <c:tx>
            <c:v>Worker-Retiree Ratio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Data'!$F$2:$F$52</c:f>
              <c:numCache>
                <c:formatCode>General</c:formatCode>
                <c:ptCount val="51"/>
                <c:pt idx="0">
                  <c:v>3.3333333333333335</c:v>
                </c:pt>
                <c:pt idx="1">
                  <c:v>2.9725609756097562</c:v>
                </c:pt>
                <c:pt idx="2">
                  <c:v>2.6876483553747033</c:v>
                </c:pt>
                <c:pt idx="3">
                  <c:v>2.4571664032781939</c:v>
                </c:pt>
                <c:pt idx="4">
                  <c:v>2.2670542137339438</c:v>
                </c:pt>
                <c:pt idx="5">
                  <c:v>2.1077031493085387</c:v>
                </c:pt>
                <c:pt idx="6">
                  <c:v>1.9723241169023613</c:v>
                </c:pt>
                <c:pt idx="7">
                  <c:v>1.8559842447983952</c:v>
                </c:pt>
                <c:pt idx="8">
                  <c:v>1.7550132504085247</c:v>
                </c:pt>
                <c:pt idx="9">
                  <c:v>1.6666239280417645</c:v>
                </c:pt>
                <c:pt idx="10">
                  <c:v>1.5886617618122099</c:v>
                </c:pt>
                <c:pt idx="11">
                  <c:v>1.5194351581543875</c:v>
                </c:pt>
                <c:pt idx="12">
                  <c:v>1.4575975558484247</c:v>
                </c:pt>
                <c:pt idx="13">
                  <c:v>1.4020638147975037</c:v>
                </c:pt>
                <c:pt idx="14">
                  <c:v>1.3519497924751742</c:v>
                </c:pt>
                <c:pt idx="15">
                  <c:v>1.3065279370274798</c:v>
                </c:pt>
                <c:pt idx="16">
                  <c:v>1.2651941533202924</c:v>
                </c:pt>
                <c:pt idx="17">
                  <c:v>1.2274427387309808</c:v>
                </c:pt>
                <c:pt idx="18">
                  <c:v>1.1928471851349778</c:v>
                </c:pt>
                <c:pt idx="19">
                  <c:v>1.1610453053988457</c:v>
                </c:pt>
                <c:pt idx="20">
                  <c:v>1.1317275889973124</c:v>
                </c:pt>
                <c:pt idx="21">
                  <c:v>1.1046279974007414</c:v>
                </c:pt>
                <c:pt idx="22">
                  <c:v>1.0795166229673978</c:v>
                </c:pt>
                <c:pt idx="23">
                  <c:v>1.0561937855603949</c:v>
                </c:pt>
                <c:pt idx="24">
                  <c:v>1.0344852487817207</c:v>
                </c:pt>
                <c:pt idx="25">
                  <c:v>1.0142383156941677</c:v>
                </c:pt>
                <c:pt idx="26">
                  <c:v>0.9953186210148437</c:v>
                </c:pt>
                <c:pt idx="27">
                  <c:v>0.97760747903571499</c:v>
                </c:pt>
                <c:pt idx="28">
                  <c:v>0.96099967812216358</c:v>
                </c:pt>
                <c:pt idx="29">
                  <c:v>0.9454016364740726</c:v>
                </c:pt>
                <c:pt idx="30">
                  <c:v>0.93072985196797597</c:v>
                </c:pt>
                <c:pt idx="31">
                  <c:v>0.91690959280854933</c:v>
                </c:pt>
                <c:pt idx="32">
                  <c:v>0.90387378646899297</c:v>
                </c:pt>
                <c:pt idx="33">
                  <c:v>0.89156207276995736</c:v>
                </c:pt>
                <c:pt idx="34">
                  <c:v>0.87991999350748973</c:v>
                </c:pt>
                <c:pt idx="35">
                  <c:v>0.86889829621642589</c:v>
                </c:pt>
                <c:pt idx="36">
                  <c:v>0.85845233376408292</c:v>
                </c:pt>
                <c:pt idx="37">
                  <c:v>0.8485415447491873</c:v>
                </c:pt>
                <c:pt idx="38">
                  <c:v>0.83912900231422882</c:v>
                </c:pt>
                <c:pt idx="39">
                  <c:v>0.83018102110454484</c:v>
                </c:pt>
                <c:pt idx="40">
                  <c:v>0.82166681383110374</c:v>
                </c:pt>
                <c:pt idx="41">
                  <c:v>0.81355819029869003</c:v>
                </c:pt>
                <c:pt idx="42">
                  <c:v>0.80582929291126948</c:v>
                </c:pt>
                <c:pt idx="43">
                  <c:v>0.79845636361200945</c:v>
                </c:pt>
                <c:pt idx="44">
                  <c:v>0.7914175379963323</c:v>
                </c:pt>
                <c:pt idx="45">
                  <c:v>0.78469266298378804</c:v>
                </c:pt>
                <c:pt idx="46">
                  <c:v>0.77826313497334565</c:v>
                </c:pt>
                <c:pt idx="47">
                  <c:v>0.77211175585678171</c:v>
                </c:pt>
                <c:pt idx="48">
                  <c:v>0.76622260464214376</c:v>
                </c:pt>
                <c:pt idx="49">
                  <c:v>0.76058092275663969</c:v>
                </c:pt>
                <c:pt idx="50">
                  <c:v>0.7551730113661278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E4-4D0B-8971-2EC6E022FAF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812720"/>
        <c:axId val="1351671168"/>
      </c:lineChart>
      <c:catAx>
        <c:axId val="129381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71168"/>
        <c:crosses val="autoZero"/>
        <c:auto val="1"/>
        <c:lblAlgn val="ctr"/>
        <c:lblOffset val="100"/>
        <c:noMultiLvlLbl val="0"/>
      </c:catAx>
      <c:valAx>
        <c:axId val="13516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Dependency Ratio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B-42FB-80EF-8DDFBAE53E53}"/>
            </c:ext>
          </c:extLst>
        </c:ser>
        <c:ser>
          <c:idx val="1"/>
          <c:order val="1"/>
          <c:tx>
            <c:v>DR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Data'!$G$2:$G$52</c:f>
              <c:numCache>
                <c:formatCode>General</c:formatCode>
                <c:ptCount val="51"/>
                <c:pt idx="0">
                  <c:v>0.7</c:v>
                </c:pt>
                <c:pt idx="1">
                  <c:v>0.74625641025641021</c:v>
                </c:pt>
                <c:pt idx="2">
                  <c:v>0.79129055151639416</c:v>
                </c:pt>
                <c:pt idx="3">
                  <c:v>0.83510264386589261</c:v>
                </c:pt>
                <c:pt idx="4">
                  <c:v>0.87769706480927911</c:v>
                </c:pt>
                <c:pt idx="5">
                  <c:v>0.91908193783815695</c:v>
                </c:pt>
                <c:pt idx="6">
                  <c:v>0.95926873294583648</c:v>
                </c:pt>
                <c:pt idx="7">
                  <c:v>0.99827188249224497</c:v>
                </c:pt>
                <c:pt idx="8">
                  <c:v>1.0361084150816207</c:v>
                </c:pt>
                <c:pt idx="9">
                  <c:v>1.072797609439395</c:v>
                </c:pt>
                <c:pt idx="10">
                  <c:v>1.1083606696700625</c:v>
                </c:pt>
                <c:pt idx="11">
                  <c:v>1.1428204227464058</c:v>
                </c:pt>
                <c:pt idx="12">
                  <c:v>1.1762010386214787</c:v>
                </c:pt>
                <c:pt idx="13">
                  <c:v>1.2085277729656703</c:v>
                </c:pt>
                <c:pt idx="14">
                  <c:v>1.2398267322078942</c:v>
                </c:pt>
                <c:pt idx="15">
                  <c:v>1.2701246602974718</c:v>
                </c:pt>
                <c:pt idx="16">
                  <c:v>1.2994487463959654</c:v>
                </c:pt>
                <c:pt idx="17">
                  <c:v>1.3278264525500985</c:v>
                </c:pt>
                <c:pt idx="18">
                  <c:v>1.3552853602820771</c:v>
                </c:pt>
                <c:pt idx="19">
                  <c:v>1.3818530349561537</c:v>
                </c:pt>
                <c:pt idx="20">
                  <c:v>1.4075569067347098</c:v>
                </c:pt>
                <c:pt idx="21">
                  <c:v>1.4324241669182265</c:v>
                </c:pt>
                <c:pt idx="22">
                  <c:v>1.4564816784665797</c:v>
                </c:pt>
                <c:pt idx="23">
                  <c:v>1.4797558995198647</c:v>
                </c:pt>
                <c:pt idx="24">
                  <c:v>1.5022728187716654</c:v>
                </c:pt>
                <c:pt idx="25">
                  <c:v>1.5240579015930344</c:v>
                </c:pt>
                <c:pt idx="26">
                  <c:v>1.5451360458586056</c:v>
                </c:pt>
                <c:pt idx="27">
                  <c:v>1.5655315464848092</c:v>
                </c:pt>
                <c:pt idx="28">
                  <c:v>1.5852680677520576</c:v>
                </c:pt>
                <c:pt idx="29">
                  <c:v>1.6043686225463702</c:v>
                </c:pt>
                <c:pt idx="30">
                  <c:v>1.6228555577198216</c:v>
                </c:pt>
                <c:pt idx="31">
                  <c:v>1.6407505448323716</c:v>
                </c:pt>
                <c:pt idx="32">
                  <c:v>1.6580745755991779</c:v>
                </c:pt>
                <c:pt idx="33">
                  <c:v>1.6748479614268168</c:v>
                </c:pt>
                <c:pt idx="34">
                  <c:v>1.6910903364784153</c:v>
                </c:pt>
                <c:pt idx="35">
                  <c:v>1.706820663761272</c:v>
                </c:pt>
                <c:pt idx="36">
                  <c:v>1.7220572437808206</c:v>
                </c:pt>
                <c:pt idx="37">
                  <c:v>1.7368177253517711</c:v>
                </c:pt>
                <c:pt idx="38">
                  <c:v>1.7511191182008135</c:v>
                </c:pt>
                <c:pt idx="39">
                  <c:v>1.7649778070355167</c:v>
                </c:pt>
                <c:pt idx="40">
                  <c:v>1.7784095667909918</c:v>
                </c:pt>
                <c:pt idx="41">
                  <c:v>1.7914295787997223</c:v>
                </c:pt>
                <c:pt idx="42">
                  <c:v>1.8040524476607553</c:v>
                </c:pt>
                <c:pt idx="43">
                  <c:v>1.816292218612414</c:v>
                </c:pt>
                <c:pt idx="44">
                  <c:v>1.8281623952379744</c:v>
                </c:pt>
                <c:pt idx="45">
                  <c:v>1.8396759573565531</c:v>
                </c:pt>
                <c:pt idx="46">
                  <c:v>1.8508453789719037</c:v>
                </c:pt>
                <c:pt idx="47">
                  <c:v>1.8616826461701745</c:v>
                </c:pt>
                <c:pt idx="48">
                  <c:v>1.8721992748740239</c:v>
                </c:pt>
                <c:pt idx="49">
                  <c:v>1.8824063283750634</c:v>
                </c:pt>
                <c:pt idx="50">
                  <c:v>1.8923144345795011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B-42FB-80EF-8DDFBAE53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76128"/>
        <c:axId val="1451570848"/>
      </c:lineChart>
      <c:catAx>
        <c:axId val="145157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70848"/>
        <c:crosses val="autoZero"/>
        <c:auto val="1"/>
        <c:lblAlgn val="ctr"/>
        <c:lblOffset val="100"/>
        <c:noMultiLvlLbl val="0"/>
      </c:catAx>
      <c:valAx>
        <c:axId val="14515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7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Demographic Change on Workforce Size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Data'!$A$1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F-43A6-8ECA-814A86A23F13}"/>
            </c:ext>
          </c:extLst>
        </c:ser>
        <c:ser>
          <c:idx val="1"/>
          <c:order val="1"/>
          <c:tx>
            <c:strRef>
              <c:f>'Population Data'!$C$1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'Population Data'!$C$2:$C$52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487500</c:v>
                </c:pt>
                <c:pt idx="2">
                  <c:v>475552.5</c:v>
                </c:pt>
                <c:pt idx="3">
                  <c:v>464120.64750000002</c:v>
                </c:pt>
                <c:pt idx="4">
                  <c:v>453170.41235250002</c:v>
                </c:pt>
                <c:pt idx="5">
                  <c:v>442670.36354064755</c:v>
                </c:pt>
                <c:pt idx="6">
                  <c:v>432591.4637307364</c:v>
                </c:pt>
                <c:pt idx="7">
                  <c:v>422906.88018179155</c:v>
                </c:pt>
                <c:pt idx="8">
                  <c:v>413591.81070801412</c:v>
                </c:pt>
                <c:pt idx="9">
                  <c:v>404623.32349388389</c:v>
                </c:pt>
                <c:pt idx="10">
                  <c:v>395980.20965744328</c:v>
                </c:pt>
                <c:pt idx="11">
                  <c:v>387642.8475453764</c:v>
                </c:pt>
                <c:pt idx="12">
                  <c:v>379593.07782456157</c:v>
                </c:pt>
                <c:pt idx="13">
                  <c:v>371814.08850937372</c:v>
                </c:pt>
                <c:pt idx="14">
                  <c:v>364290.30913266103</c:v>
                </c:pt>
                <c:pt idx="15">
                  <c:v>357007.31333149318</c:v>
                </c:pt>
                <c:pt idx="16">
                  <c:v>349951.72917691059</c:v>
                </c:pt>
                <c:pt idx="17">
                  <c:v>343111.15663040365</c:v>
                </c:pt>
                <c:pt idx="18">
                  <c:v>336474.09155907732</c:v>
                </c:pt>
                <c:pt idx="19">
                  <c:v>330029.85578676191</c:v>
                </c:pt>
                <c:pt idx="20">
                  <c:v>323768.53270001977</c:v>
                </c:pt>
                <c:pt idx="21">
                  <c:v>317680.90796636103</c:v>
                </c:pt>
                <c:pt idx="22">
                  <c:v>311758.41495728702</c:v>
                </c:pt>
                <c:pt idx="23">
                  <c:v>305993.0845012677</c:v>
                </c:pt>
                <c:pt idx="24">
                  <c:v>300377.49862165656</c:v>
                </c:pt>
                <c:pt idx="25">
                  <c:v>294904.74794205889</c:v>
                </c:pt>
                <c:pt idx="26">
                  <c:v>289568.3924669876</c:v>
                </c:pt>
                <c:pt idx="27">
                  <c:v>284362.42546893813</c:v>
                </c:pt>
                <c:pt idx="28">
                  <c:v>279281.24023445667</c:v>
                </c:pt>
                <c:pt idx="29">
                  <c:v>274319.59944150317</c:v>
                </c:pt>
                <c:pt idx="30">
                  <c:v>269472.60695856955</c:v>
                </c:pt>
                <c:pt idx="31">
                  <c:v>264735.68187272089</c:v>
                </c:pt>
                <c:pt idx="32">
                  <c:v>260104.53456910231</c:v>
                </c:pt>
                <c:pt idx="33">
                  <c:v>255575.1446986059</c:v>
                </c:pt>
                <c:pt idx="34">
                  <c:v>251143.74088341018</c:v>
                </c:pt>
                <c:pt idx="35">
                  <c:v>246806.78202208856</c:v>
                </c:pt>
                <c:pt idx="36">
                  <c:v>242560.9400670098</c:v>
                </c:pt>
                <c:pt idx="37">
                  <c:v>238403.0841569</c:v>
                </c:pt>
                <c:pt idx="38">
                  <c:v>234330.26599677396</c:v>
                </c:pt>
                <c:pt idx="39">
                  <c:v>230339.70638603685</c:v>
                </c:pt>
                <c:pt idx="40">
                  <c:v>226428.78280346465</c:v>
                </c:pt>
                <c:pt idx="41">
                  <c:v>222595.01796504948</c:v>
                </c:pt>
                <c:pt idx="42">
                  <c:v>218836.06927739168</c:v>
                </c:pt>
                <c:pt idx="43">
                  <c:v>215149.71911548427</c:v>
                </c:pt>
                <c:pt idx="44">
                  <c:v>211533.86585940578</c:v>
                </c:pt>
                <c:pt idx="45">
                  <c:v>207986.51562965626</c:v>
                </c:pt>
                <c:pt idx="46">
                  <c:v>204505.77466567478</c:v>
                </c:pt>
                <c:pt idx="47">
                  <c:v>201089.8422964951</c:v>
                </c:pt>
                <c:pt idx="48">
                  <c:v>197737.00445656464</c:v>
                </c:pt>
                <c:pt idx="49">
                  <c:v>194445.62770349355</c:v>
                </c:pt>
                <c:pt idx="50">
                  <c:v>191214.15369794599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F-43A6-8ECA-814A86A23F13}"/>
            </c:ext>
          </c:extLst>
        </c:ser>
        <c:ser>
          <c:idx val="2"/>
          <c:order val="2"/>
          <c:tx>
            <c:v>Scenario Workers 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'Population Scenario'!$C$2:$C$52</c:f>
              <c:numCache>
                <c:formatCode>General</c:formatCode>
                <c:ptCount val="51"/>
                <c:pt idx="0">
                  <c:v>500000</c:v>
                </c:pt>
                <c:pt idx="1">
                  <c:v>482500</c:v>
                </c:pt>
                <c:pt idx="2">
                  <c:v>470652.5</c:v>
                </c:pt>
                <c:pt idx="3">
                  <c:v>459196.89750000002</c:v>
                </c:pt>
                <c:pt idx="4">
                  <c:v>448113.87472750008</c:v>
                </c:pt>
                <c:pt idx="5">
                  <c:v>437385.36293452256</c:v>
                </c:pt>
                <c:pt idx="6">
                  <c:v>426994.45233721694</c:v>
                </c:pt>
                <c:pt idx="7">
                  <c:v>416925.30877151876</c:v>
                </c:pt>
                <c:pt idx="8">
                  <c:v>407163.09655926668</c:v>
                </c:pt>
                <c:pt idx="9">
                  <c:v>397693.90711733879</c:v>
                </c:pt>
                <c:pt idx="10">
                  <c:v>388504.69287765189</c:v>
                </c:pt>
                <c:pt idx="11">
                  <c:v>379583.20611847861</c:v>
                </c:pt>
                <c:pt idx="12">
                  <c:v>370917.94233768998</c:v>
                </c:pt>
                <c:pt idx="13">
                  <c:v>362498.08782640402</c:v>
                </c:pt>
                <c:pt idx="14">
                  <c:v>354313.47112728975</c:v>
                </c:pt>
                <c:pt idx="15">
                  <c:v>346354.51808559871</c:v>
                </c:pt>
                <c:pt idx="16">
                  <c:v>338612.21022301831</c:v>
                </c:pt>
                <c:pt idx="17">
                  <c:v>331078.04618480342</c:v>
                </c:pt>
                <c:pt idx="18">
                  <c:v>323744.00602946262</c:v>
                </c:pt>
                <c:pt idx="19">
                  <c:v>316602.51814767899</c:v>
                </c:pt>
                <c:pt idx="20">
                  <c:v>309646.42861323105</c:v>
                </c:pt>
                <c:pt idx="21">
                  <c:v>302868.97278355196</c:v>
                </c:pt>
                <c:pt idx="22">
                  <c:v>296263.74898131465</c:v>
                </c:pt>
                <c:pt idx="23">
                  <c:v>289824.69410114153</c:v>
                </c:pt>
                <c:pt idx="24">
                  <c:v>283546.06099728891</c:v>
                </c:pt>
                <c:pt idx="25">
                  <c:v>277422.39751901984</c:v>
                </c:pt>
                <c:pt idx="26">
                  <c:v>271448.52707042382</c:v>
                </c:pt>
                <c:pt idx="27">
                  <c:v>265619.53058072604</c:v>
                </c:pt>
                <c:pt idx="28">
                  <c:v>259930.7297797155</c:v>
                </c:pt>
                <c:pt idx="29">
                  <c:v>254377.67168085478</c:v>
                </c:pt>
                <c:pt idx="30">
                  <c:v>248956.11418197499</c:v>
                </c:pt>
                <c:pt idx="31">
                  <c:v>243662.01270024074</c:v>
                </c:pt>
                <c:pt idx="32">
                  <c:v>238491.50776434183</c:v>
                </c:pt>
                <c:pt idx="33">
                  <c:v>233440.91349266737</c:v>
                </c:pt>
                <c:pt idx="34">
                  <c:v>228506.70689157772</c:v>
                </c:pt>
                <c:pt idx="35">
                  <c:v>223685.51791284652</c:v>
                </c:pt>
                <c:pt idx="36">
                  <c:v>218974.12021392604</c:v>
                </c:pt>
                <c:pt idx="37">
                  <c:v>214369.42256892659</c:v>
                </c:pt>
                <c:pt idx="38">
                  <c:v>209868.46088211655</c:v>
                </c:pt>
                <c:pt idx="39">
                  <c:v>205468.39075937125</c:v>
                </c:pt>
                <c:pt idx="40">
                  <c:v>201166.48059634666</c:v>
                </c:pt>
                <c:pt idx="41">
                  <c:v>196960.1051452492</c:v>
                </c:pt>
                <c:pt idx="42">
                  <c:v>192846.73952493572</c:v>
                </c:pt>
                <c:pt idx="43">
                  <c:v>188823.95364172297</c:v>
                </c:pt>
                <c:pt idx="44">
                  <c:v>184889.40699073256</c:v>
                </c:pt>
                <c:pt idx="45">
                  <c:v>181040.84380986079</c:v>
                </c:pt>
                <c:pt idx="46">
                  <c:v>177276.08856055202</c:v>
                </c:pt>
                <c:pt idx="47">
                  <c:v>173593.04171149066</c:v>
                </c:pt>
                <c:pt idx="48">
                  <c:v>169989.67580311315</c:v>
                </c:pt>
                <c:pt idx="49">
                  <c:v>166464.03177249563</c:v>
                </c:pt>
                <c:pt idx="50">
                  <c:v>163014.21551970157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3F-43A6-8ECA-814A86A23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633744"/>
        <c:axId val="1442636144"/>
      </c:lineChart>
      <c:catAx>
        <c:axId val="1442633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36144"/>
        <c:crosses val="autoZero"/>
        <c:auto val="1"/>
        <c:lblAlgn val="ctr"/>
        <c:lblOffset val="100"/>
        <c:noMultiLvlLbl val="0"/>
      </c:catAx>
      <c:valAx>
        <c:axId val="14426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3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338665</xdr:colOff>
      <xdr:row>0</xdr:row>
      <xdr:rowOff>43921</xdr:rowOff>
    </xdr:from>
    <xdr:to>
      <xdr:col>19</xdr:col>
      <xdr:colOff>341312</xdr:colOff>
      <xdr:row>13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88152-C575-4C61-92E8-2F50DB30E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20</xdr:row>
      <xdr:rowOff>92870</xdr:rowOff>
    </xdr:from>
    <xdr:to>
      <xdr:col>13</xdr:col>
      <xdr:colOff>111124</xdr:colOff>
      <xdr:row>34</xdr:row>
      <xdr:rowOff>79376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B27479-BFDE-4C0C-8FFA-D9FA7B469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192086</xdr:colOff>
      <xdr:row>13</xdr:row>
      <xdr:rowOff>73817</xdr:rowOff>
    </xdr:from>
    <xdr:to>
      <xdr:col>20</xdr:col>
      <xdr:colOff>161924</xdr:colOff>
      <xdr:row>24</xdr:row>
      <xdr:rowOff>131762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1E1D32-388D-4912-95BA-F35CD470E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219075</xdr:colOff>
      <xdr:row>25</xdr:row>
      <xdr:rowOff>42862</xdr:rowOff>
    </xdr:from>
    <xdr:to>
      <xdr:col>20</xdr:col>
      <xdr:colOff>238125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83C81E-7D03-460C-B1DA-68A99A1AF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338665</xdr:colOff>
      <xdr:row>0</xdr:row>
      <xdr:rowOff>43921</xdr:rowOff>
    </xdr:from>
    <xdr:to>
      <xdr:col>19</xdr:col>
      <xdr:colOff>341312</xdr:colOff>
      <xdr:row>13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0F559-D8A7-2A42-D9FA-BB8F6ADF3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121445</xdr:rowOff>
    </xdr:from>
    <xdr:to>
      <xdr:col>12</xdr:col>
      <xdr:colOff>606424</xdr:colOff>
      <xdr:row>25</xdr:row>
      <xdr:rowOff>107951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E7CD49-8634-6E60-1EAC-06848C3B2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192086</xdr:colOff>
      <xdr:row>13</xdr:row>
      <xdr:rowOff>73817</xdr:rowOff>
    </xdr:from>
    <xdr:to>
      <xdr:col>20</xdr:col>
      <xdr:colOff>161924</xdr:colOff>
      <xdr:row>24</xdr:row>
      <xdr:rowOff>131762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53D771-812C-E2ED-FBB9-C26553438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219075</xdr:colOff>
      <xdr:row>25</xdr:row>
      <xdr:rowOff>42862</xdr:rowOff>
    </xdr:from>
    <xdr:to>
      <xdr:col>20</xdr:col>
      <xdr:colOff>238125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738037-2FE8-C480-0B39-251A6F41D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28</xdr:row>
      <xdr:rowOff>33336</xdr:rowOff>
    </xdr:from>
    <xdr:to>
      <xdr:col>14</xdr:col>
      <xdr:colOff>457200</xdr:colOff>
      <xdr:row>43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C04D21-D328-BDA9-B986-77CDB5AED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39EA-586D-4B65-BBB6-659AE16123E6}">
  <dimension ref="A1:K52"/>
  <sheetViews>
    <sheetView zoomScaleNormal="100" workbookViewId="0">
      <selection activeCell="I3" sqref="I3"/>
    </sheetView>
  </sheetViews>
  <sheetFormatPr defaultRowHeight="15" x14ac:dyDescent="0.25"/>
  <cols>
    <col min="5" max="5" width="16" customWidth="1"/>
    <col min="6" max="6" width="19.85546875" customWidth="1"/>
    <col min="7" max="7" width="19" customWidth="1"/>
    <col min="8" max="8" width="10.85546875" customWidth="1"/>
    <col min="9" max="9" width="11.28515625" customWidth="1"/>
  </cols>
  <sheetData>
    <row r="1" spans="1:11" ht="15.75" thickBot="1" x14ac:dyDescent="0.3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10" t="s">
        <v>18</v>
      </c>
      <c r="G1" s="7" t="s">
        <v>19</v>
      </c>
      <c r="H1" s="9"/>
      <c r="I1" s="9"/>
      <c r="J1" s="9"/>
    </row>
    <row r="2" spans="1:11" x14ac:dyDescent="0.25">
      <c r="A2" s="2">
        <v>0</v>
      </c>
      <c r="B2" s="2">
        <v>200000</v>
      </c>
      <c r="C2" s="2">
        <v>500000</v>
      </c>
      <c r="D2" s="2">
        <v>150000</v>
      </c>
      <c r="E2" s="2">
        <f>SUM(B2:D2)</f>
        <v>850000</v>
      </c>
      <c r="F2" s="2">
        <f>C2/D2</f>
        <v>3.3333333333333335</v>
      </c>
      <c r="G2" s="2">
        <f>(B2+D2)/C2</f>
        <v>0.7</v>
      </c>
    </row>
    <row r="3" spans="1:11" x14ac:dyDescent="0.25">
      <c r="A3" s="1">
        <v>1</v>
      </c>
      <c r="B3" s="1">
        <f>B2+(C2*$K$16)-(B2*$K$11)-(B2*$K$13)</f>
        <v>197300</v>
      </c>
      <c r="C3" s="1">
        <f>C2+(B2*$K$11)-(C2*$K$17)-(C2*$K$14)</f>
        <v>482500</v>
      </c>
      <c r="D3" s="1">
        <f>D2+(C2*$K$12)-(D2*$K$15)</f>
        <v>164000</v>
      </c>
      <c r="E3" s="1">
        <f>SUM(B3:D3)</f>
        <v>843800</v>
      </c>
      <c r="F3" s="1">
        <f t="shared" ref="F3:F52" si="0">C3/D3</f>
        <v>2.9420731707317072</v>
      </c>
      <c r="G3" s="1">
        <f t="shared" ref="G3:G52" si="1">(B3+D3)/C3</f>
        <v>0.74880829015544037</v>
      </c>
    </row>
    <row r="4" spans="1:11" x14ac:dyDescent="0.25">
      <c r="A4" s="1">
        <v>2</v>
      </c>
      <c r="B4" s="1">
        <f>B3+(C3*$K$16)-(B3*$K$11)-(B3*$K$13)</f>
        <v>194475.2</v>
      </c>
      <c r="C4" s="1">
        <f>C3+(B3*$K$11)-(C3*$K$12)-(C3*$K$14)</f>
        <v>470652.5</v>
      </c>
      <c r="D4" s="1">
        <f>D3+(C3*$K$12)-(D3*$K$15)</f>
        <v>176740</v>
      </c>
      <c r="E4" s="1">
        <f t="shared" ref="E4:E52" si="2">SUM(B4:D4)</f>
        <v>841867.7</v>
      </c>
      <c r="F4" s="1">
        <f t="shared" si="0"/>
        <v>2.6629653728640941</v>
      </c>
      <c r="G4" s="1">
        <f t="shared" si="1"/>
        <v>0.7887245897982057</v>
      </c>
    </row>
    <row r="5" spans="1:11" x14ac:dyDescent="0.25">
      <c r="A5" s="1">
        <v>3</v>
      </c>
      <c r="B5" s="1">
        <f>B4+(C4*$K$16)-(B4*$K$11)-(B4*$K$13)</f>
        <v>191616.75230000002</v>
      </c>
      <c r="C5" s="1">
        <f>C4+(B4*$K$11)-(C4*$K$12)-(C4*$K$14)</f>
        <v>459196.89750000002</v>
      </c>
      <c r="D5" s="1">
        <f>D4+(C4*$K$12)-(D4*$K$15)</f>
        <v>188496.5</v>
      </c>
      <c r="E5" s="1">
        <f t="shared" si="2"/>
        <v>839310.14980000001</v>
      </c>
      <c r="F5" s="1">
        <f t="shared" si="0"/>
        <v>2.4361030443536089</v>
      </c>
      <c r="G5" s="1">
        <f t="shared" si="1"/>
        <v>0.82777835470894057</v>
      </c>
    </row>
    <row r="6" spans="1:11" x14ac:dyDescent="0.25">
      <c r="A6" s="1">
        <v>4</v>
      </c>
      <c r="B6" s="1">
        <f>B5+(C5*$K$16)-(B5*$K$11)-(B5*$K$13)</f>
        <v>188732.25139520003</v>
      </c>
      <c r="C6" s="1">
        <f>C5+(B5*$K$11)-(C5*$K$12)-(C5*$K$14)</f>
        <v>448113.87472750008</v>
      </c>
      <c r="D6" s="1">
        <f>D5+(C5*$K$12)-(D5*$K$15)</f>
        <v>199324.5159</v>
      </c>
      <c r="E6" s="1">
        <f t="shared" si="2"/>
        <v>836170.64202270005</v>
      </c>
      <c r="F6" s="1">
        <f t="shared" si="0"/>
        <v>2.2481623632906067</v>
      </c>
      <c r="G6" s="1">
        <f t="shared" si="1"/>
        <v>0.86597802295494419</v>
      </c>
    </row>
    <row r="7" spans="1:11" x14ac:dyDescent="0.25">
      <c r="A7" s="1">
        <v>5</v>
      </c>
      <c r="B7" s="1">
        <f>B6+(C6*$K$16)-(B6*$K$11)-(B6*$K$13)</f>
        <v>185828.6146949573</v>
      </c>
      <c r="C7" s="1">
        <f>C6+(B6*$K$11)-(C6*$K$12)-(C6*$K$14)</f>
        <v>437385.36293452256</v>
      </c>
      <c r="D7" s="1">
        <f>D6+(C6*$K$12)-(D6*$K$15)</f>
        <v>209276.0902531</v>
      </c>
      <c r="E7" s="1">
        <f t="shared" si="2"/>
        <v>832490.06788257987</v>
      </c>
      <c r="F7" s="1">
        <f t="shared" si="0"/>
        <v>2.0899920406843684</v>
      </c>
      <c r="G7" s="1">
        <f t="shared" si="1"/>
        <v>0.90333316665469954</v>
      </c>
    </row>
    <row r="8" spans="1:11" ht="15.75" thickBot="1" x14ac:dyDescent="0.3">
      <c r="A8" s="1">
        <v>6</v>
      </c>
      <c r="B8" s="1">
        <f>B7+(C7*$K$16)-(B7*$K$11)-(B7*$K$13)</f>
        <v>182912.1357895323</v>
      </c>
      <c r="C8" s="1">
        <f>C7+(B7*$K$11)-(C7*$K$12)-(C7*$K$14)</f>
        <v>426994.45233721694</v>
      </c>
      <c r="D8" s="1">
        <f>D7+(C7*$K$12)-(D7*$K$15)</f>
        <v>218400.46116035691</v>
      </c>
      <c r="E8" s="1">
        <f t="shared" si="2"/>
        <v>828307.04928710614</v>
      </c>
      <c r="F8" s="1">
        <f t="shared" si="0"/>
        <v>1.9550986754725914</v>
      </c>
      <c r="G8" s="1">
        <f t="shared" si="1"/>
        <v>0.93985435818485619</v>
      </c>
    </row>
    <row r="9" spans="1:11" ht="15.75" thickBot="1" x14ac:dyDescent="0.3">
      <c r="A9" s="1">
        <v>7</v>
      </c>
      <c r="B9" s="1">
        <f>B8+(C8*$K$16)-(B8*$K$11)-(B8*$K$13)</f>
        <v>179988.53364932441</v>
      </c>
      <c r="C9" s="1">
        <f>C8+(B8*$K$11)-(C8*$K$12)-(C8*$K$14)</f>
        <v>416925.30877151876</v>
      </c>
      <c r="D9" s="1">
        <f>D8+(C8*$K$12)-(D8*$K$15)</f>
        <v>226744.22080743132</v>
      </c>
      <c r="E9" s="1">
        <f t="shared" si="2"/>
        <v>823658.06322827446</v>
      </c>
      <c r="F9" s="1">
        <f t="shared" si="0"/>
        <v>1.8387472337193718</v>
      </c>
      <c r="G9" s="1">
        <f t="shared" si="1"/>
        <v>0.9755530448732036</v>
      </c>
      <c r="I9" s="3" t="s">
        <v>0</v>
      </c>
      <c r="J9" s="4" t="s">
        <v>2</v>
      </c>
      <c r="K9" s="5" t="s">
        <v>3</v>
      </c>
    </row>
    <row r="10" spans="1:11" x14ac:dyDescent="0.25">
      <c r="A10" s="1">
        <v>8</v>
      </c>
      <c r="B10" s="1">
        <f>B9+(C9*$K$16)-(B9*$K$11)-(B9*$K$13)</f>
        <v>177062.99806478163</v>
      </c>
      <c r="C10" s="1">
        <f>C9+(B9*$K$11)-(C9*$K$12)-(C9*$K$14)</f>
        <v>407163.09655926668</v>
      </c>
      <c r="D10" s="1">
        <f>D9+(C9*$K$12)-(D9*$K$15)</f>
        <v>234351.46432599484</v>
      </c>
      <c r="E10" s="1">
        <f t="shared" si="2"/>
        <v>818577.55895004317</v>
      </c>
      <c r="F10" s="1">
        <f t="shared" si="0"/>
        <v>1.7374036801104944</v>
      </c>
      <c r="G10" s="1">
        <f t="shared" si="1"/>
        <v>1.0104414321126742</v>
      </c>
      <c r="I10" s="2" t="s">
        <v>1</v>
      </c>
      <c r="J10" s="2" t="s">
        <v>9</v>
      </c>
      <c r="K10" s="2">
        <v>0.02</v>
      </c>
    </row>
    <row r="11" spans="1:11" x14ac:dyDescent="0.25">
      <c r="A11" s="1">
        <v>9</v>
      </c>
      <c r="B11" s="1">
        <f>B10+(C10*$K$16)-(B10*$K$11)-(B10*$K$13)</f>
        <v>174140.23161186677</v>
      </c>
      <c r="C11" s="1">
        <f>C10+(B10*$K$11)-(C10*$K$12)-(C10*$K$14)</f>
        <v>397693.90711733879</v>
      </c>
      <c r="D11" s="1">
        <f>D10+(C10*$K$12)-(D10*$K$15)</f>
        <v>241263.9296153257</v>
      </c>
      <c r="E11" s="1">
        <f t="shared" si="2"/>
        <v>813098.06834453135</v>
      </c>
      <c r="F11" s="1">
        <f t="shared" si="0"/>
        <v>1.6483769776585628</v>
      </c>
      <c r="G11" s="1">
        <f t="shared" si="1"/>
        <v>1.0445323747558153</v>
      </c>
      <c r="I11" s="1" t="s">
        <v>4</v>
      </c>
      <c r="J11" s="1" t="s">
        <v>10</v>
      </c>
      <c r="K11" s="1">
        <v>0.05</v>
      </c>
    </row>
    <row r="12" spans="1:11" x14ac:dyDescent="0.25">
      <c r="A12" s="1">
        <v>10</v>
      </c>
      <c r="B12" s="1">
        <f>B11+(C11*$K$16)-(B11*$K$11)-(B11*$K$13)</f>
        <v>171224.48840642165</v>
      </c>
      <c r="C12" s="1">
        <f>C11+(B11*$K$11)-(C11*$K$12)-(C11*$K$14)</f>
        <v>388504.69287765189</v>
      </c>
      <c r="D12" s="1">
        <f>D11+(C11*$K$12)-(D11*$K$15)</f>
        <v>247521.12871540623</v>
      </c>
      <c r="E12" s="1">
        <f t="shared" si="2"/>
        <v>807250.30999947968</v>
      </c>
      <c r="F12" s="1">
        <f t="shared" si="0"/>
        <v>1.56958193788921</v>
      </c>
      <c r="G12" s="1">
        <f t="shared" si="1"/>
        <v>1.077839276586807</v>
      </c>
      <c r="I12" s="1" t="s">
        <v>5</v>
      </c>
      <c r="J12" s="1" t="s">
        <v>11</v>
      </c>
      <c r="K12" s="1">
        <v>0.04</v>
      </c>
    </row>
    <row r="13" spans="1:11" x14ac:dyDescent="0.25">
      <c r="A13" s="1">
        <v>11</v>
      </c>
      <c r="B13" s="1">
        <f>B12+(C12*$K$16)-(B12*$K$11)-(B12*$K$13)</f>
        <v>168319.60989085893</v>
      </c>
      <c r="C13" s="1">
        <f>C12+(B12*$K$11)-(C12*$K$12)-(C12*$K$14)</f>
        <v>379583.20611847861</v>
      </c>
      <c r="D13" s="1">
        <f>D12+(C12*$K$12)-(D12*$K$15)</f>
        <v>253160.47128189605</v>
      </c>
      <c r="E13" s="1">
        <f t="shared" si="2"/>
        <v>801063.28729123366</v>
      </c>
      <c r="F13" s="1">
        <f t="shared" si="0"/>
        <v>1.4993778617824183</v>
      </c>
      <c r="G13" s="1">
        <f t="shared" si="1"/>
        <v>1.1103759976177638</v>
      </c>
      <c r="I13" s="1" t="s">
        <v>8</v>
      </c>
      <c r="J13" s="1" t="s">
        <v>12</v>
      </c>
      <c r="K13" s="1">
        <v>1E-3</v>
      </c>
    </row>
    <row r="14" spans="1:11" x14ac:dyDescent="0.25">
      <c r="A14" s="1">
        <v>12</v>
      </c>
      <c r="B14" s="1">
        <f>B13+(C13*$K$16)-(B13*$K$11)-(B13*$K$13)</f>
        <v>165429.05787820229</v>
      </c>
      <c r="C14" s="1">
        <f>C13+(B13*$K$11)-(C13*$K$12)-(C13*$K$14)</f>
        <v>370917.94233768998</v>
      </c>
      <c r="D14" s="1">
        <f>D13+(C13*$K$12)-(D13*$K$15)</f>
        <v>258217.38067535937</v>
      </c>
      <c r="E14" s="1">
        <f t="shared" si="2"/>
        <v>794564.38089125161</v>
      </c>
      <c r="F14" s="1">
        <f t="shared" si="0"/>
        <v>1.4364561415949844</v>
      </c>
      <c r="G14" s="1">
        <f t="shared" si="1"/>
        <v>1.1421567689164704</v>
      </c>
      <c r="I14" s="1" t="s">
        <v>6</v>
      </c>
      <c r="J14" s="1" t="s">
        <v>12</v>
      </c>
      <c r="K14" s="1">
        <v>5.0000000000000001E-3</v>
      </c>
    </row>
    <row r="15" spans="1:11" x14ac:dyDescent="0.25">
      <c r="A15" s="1">
        <v>13</v>
      </c>
      <c r="B15" s="1">
        <f>B14+(C14*$K$16)-(B14*$K$11)-(B14*$K$13)</f>
        <v>162555.94506147932</v>
      </c>
      <c r="C15" s="1">
        <f>C14+(B14*$K$11)-(C14*$K$12)-(C14*$K$14)</f>
        <v>362498.08782640402</v>
      </c>
      <c r="D15" s="1">
        <f>D14+(C14*$K$12)-(D14*$K$15)</f>
        <v>262725.40314185258</v>
      </c>
      <c r="E15" s="1">
        <f t="shared" si="2"/>
        <v>787779.43602973595</v>
      </c>
      <c r="F15" s="1">
        <f t="shared" si="0"/>
        <v>1.3797603257675142</v>
      </c>
      <c r="G15" s="1">
        <f t="shared" si="1"/>
        <v>1.1731961146426628</v>
      </c>
      <c r="I15" s="1" t="s">
        <v>7</v>
      </c>
      <c r="J15" s="1" t="s">
        <v>12</v>
      </c>
      <c r="K15" s="1">
        <v>0.04</v>
      </c>
    </row>
    <row r="16" spans="1:11" x14ac:dyDescent="0.25">
      <c r="A16" s="1">
        <v>14</v>
      </c>
      <c r="B16" s="1">
        <f>B15+(C15*$K$16)-(B15*$K$11)-(B15*$K$13)</f>
        <v>159703.06318073993</v>
      </c>
      <c r="C16" s="1">
        <f>C15+(B15*$K$11)-(C15*$K$12)-(C15*$K$14)</f>
        <v>354313.47112728975</v>
      </c>
      <c r="D16" s="1">
        <f>D15+(C15*$K$12)-(D15*$K$15)</f>
        <v>266716.31052923464</v>
      </c>
      <c r="E16" s="1">
        <f t="shared" si="2"/>
        <v>780732.84483726439</v>
      </c>
      <c r="F16" s="1">
        <f t="shared" si="0"/>
        <v>1.3284282105741472</v>
      </c>
      <c r="G16" s="1">
        <f t="shared" si="1"/>
        <v>1.2035087809483265</v>
      </c>
      <c r="I16" s="6" t="s">
        <v>20</v>
      </c>
      <c r="J16" s="1" t="s">
        <v>21</v>
      </c>
      <c r="K16" s="1">
        <v>1.4999999999999999E-2</v>
      </c>
    </row>
    <row r="17" spans="1:11" x14ac:dyDescent="0.25">
      <c r="A17" s="1">
        <v>15</v>
      </c>
      <c r="B17" s="1">
        <f>B16+(C16*$K$16)-(B16*$K$11)-(B16*$K$13)</f>
        <v>156872.90902543155</v>
      </c>
      <c r="C17" s="1">
        <f>C16+(B16*$K$11)-(C16*$K$12)-(C16*$K$14)</f>
        <v>346354.51808559871</v>
      </c>
      <c r="D17" s="1">
        <f>D16+(C16*$K$12)-(D16*$K$15)</f>
        <v>270220.19695315685</v>
      </c>
      <c r="E17" s="1">
        <f t="shared" si="2"/>
        <v>773447.62406418705</v>
      </c>
      <c r="F17" s="1">
        <f t="shared" si="0"/>
        <v>1.2817491882208933</v>
      </c>
      <c r="G17" s="1">
        <f t="shared" si="1"/>
        <v>1.2331096713831109</v>
      </c>
      <c r="I17" s="6" t="s">
        <v>23</v>
      </c>
      <c r="J17" s="1" t="s">
        <v>22</v>
      </c>
      <c r="K17" s="1">
        <v>0.05</v>
      </c>
    </row>
    <row r="18" spans="1:11" x14ac:dyDescent="0.25">
      <c r="A18" s="1">
        <v>16</v>
      </c>
      <c r="B18" s="1">
        <f>B17+(C17*$K$16)-(B17*$K$11)-(B17*$K$13)</f>
        <v>154067.7084364185</v>
      </c>
      <c r="C18" s="1">
        <f>C17+(B17*$K$11)-(C17*$K$12)-(C17*$K$14)</f>
        <v>338612.21022301831</v>
      </c>
      <c r="D18" s="1">
        <f>D17+(C17*$K$12)-(D17*$K$15)</f>
        <v>273265.56979845453</v>
      </c>
      <c r="E18" s="1">
        <f t="shared" si="2"/>
        <v>765945.48845789139</v>
      </c>
      <c r="F18" s="1">
        <f t="shared" si="0"/>
        <v>1.2391323593117121</v>
      </c>
      <c r="G18" s="1">
        <f t="shared" si="1"/>
        <v>1.2620137884378737</v>
      </c>
    </row>
    <row r="19" spans="1:11" x14ac:dyDescent="0.25">
      <c r="A19" s="1">
        <v>17</v>
      </c>
      <c r="B19" s="1">
        <f>B18+(C18*$K$16)-(B18*$K$11)-(B18*$K$13)</f>
        <v>151289.43845950643</v>
      </c>
      <c r="C19" s="1">
        <f>C18+(B18*$K$11)-(C18*$K$12)-(C18*$K$14)</f>
        <v>331078.04618480342</v>
      </c>
      <c r="D19" s="1">
        <f>D18+(C18*$K$12)-(D18*$K$15)</f>
        <v>275879.43541543704</v>
      </c>
      <c r="E19" s="1">
        <f t="shared" si="2"/>
        <v>758246.92005974683</v>
      </c>
      <c r="F19" s="1">
        <f t="shared" si="0"/>
        <v>1.200082368177406</v>
      </c>
      <c r="G19" s="1">
        <f t="shared" si="1"/>
        <v>1.290236180856593</v>
      </c>
    </row>
    <row r="20" spans="1:11" x14ac:dyDescent="0.25">
      <c r="A20" s="1">
        <v>18</v>
      </c>
      <c r="B20" s="1">
        <f>B19+(C19*$K$16)-(B19*$K$11)-(B19*$K$13)</f>
        <v>148539.84779084366</v>
      </c>
      <c r="C20" s="1">
        <f>C19+(B19*$K$11)-(C19*$K$12)-(C19*$K$14)</f>
        <v>323744.00602946262</v>
      </c>
      <c r="D20" s="1">
        <f>D19+(C19*$K$12)-(D19*$K$15)</f>
        <v>278087.3798462117</v>
      </c>
      <c r="E20" s="1">
        <f t="shared" si="2"/>
        <v>750371.233666518</v>
      </c>
      <c r="F20" s="1">
        <f t="shared" si="0"/>
        <v>1.1641808636138038</v>
      </c>
      <c r="G20" s="1">
        <f t="shared" si="1"/>
        <v>1.3177918963485913</v>
      </c>
    </row>
    <row r="21" spans="1:11" x14ac:dyDescent="0.25">
      <c r="A21" s="1">
        <v>19</v>
      </c>
      <c r="B21" s="1">
        <f>B20+(C20*$K$16)-(B20*$K$11)-(B20*$K$13)</f>
        <v>145820.47564395255</v>
      </c>
      <c r="C21" s="1">
        <f>C20+(B20*$K$11)-(C20*$K$12)-(C20*$K$14)</f>
        <v>316602.51814767899</v>
      </c>
      <c r="D21" s="1">
        <f>D20+(C20*$K$12)-(D20*$K$15)</f>
        <v>279913.64489354176</v>
      </c>
      <c r="E21" s="1">
        <f t="shared" si="2"/>
        <v>742336.63868517336</v>
      </c>
      <c r="F21" s="1">
        <f t="shared" si="0"/>
        <v>1.1310721142875724</v>
      </c>
      <c r="G21" s="1">
        <f t="shared" si="1"/>
        <v>1.3446959393383946</v>
      </c>
    </row>
    <row r="22" spans="1:11" x14ac:dyDescent="0.25">
      <c r="A22" s="1">
        <v>20</v>
      </c>
      <c r="B22" s="1">
        <f>B21+(C21*$K$16)-(B21*$K$11)-(B21*$K$13)</f>
        <v>143132.66915832614</v>
      </c>
      <c r="C22" s="1">
        <f>C21+(B21*$K$11)-(C21*$K$12)-(C21*$K$14)</f>
        <v>309646.42861323105</v>
      </c>
      <c r="D22" s="1">
        <f>D21+(C21*$K$12)-(D21*$K$15)</f>
        <v>281381.19982370723</v>
      </c>
      <c r="E22" s="1">
        <f t="shared" si="2"/>
        <v>734160.29759526439</v>
      </c>
      <c r="F22" s="1">
        <f t="shared" si="0"/>
        <v>1.1004517316978986</v>
      </c>
      <c r="G22" s="1">
        <f t="shared" si="1"/>
        <v>1.370963233398953</v>
      </c>
    </row>
    <row r="23" spans="1:11" x14ac:dyDescent="0.25">
      <c r="A23" s="1">
        <v>21</v>
      </c>
      <c r="B23" s="1">
        <f>B22+(C22*$K$16)-(B22*$K$11)-(B22*$K$13)</f>
        <v>140477.59946044997</v>
      </c>
      <c r="C23" s="1">
        <f>C22+(B22*$K$11)-(C22*$K$12)-(C22*$K$14)</f>
        <v>302868.97278355196</v>
      </c>
      <c r="D23" s="1">
        <f>D22+(C22*$K$12)-(D22*$K$15)</f>
        <v>282511.80897528818</v>
      </c>
      <c r="E23" s="1">
        <f t="shared" si="2"/>
        <v>725858.38121929008</v>
      </c>
      <c r="F23" s="1">
        <f t="shared" si="0"/>
        <v>1.0720577447084503</v>
      </c>
      <c r="G23" s="1">
        <f t="shared" si="1"/>
        <v>1.3966085880247343</v>
      </c>
    </row>
    <row r="24" spans="1:11" x14ac:dyDescent="0.25">
      <c r="A24" s="1">
        <v>22</v>
      </c>
      <c r="B24" s="1">
        <f>B23+(C23*$K$16)-(B23*$K$11)-(B23*$K$13)</f>
        <v>137856.27647972028</v>
      </c>
      <c r="C24" s="1">
        <f>C23+(B23*$K$11)-(C23*$K$12)-(C23*$K$14)</f>
        <v>296263.74898131465</v>
      </c>
      <c r="D24" s="1">
        <f>D23+(C23*$K$12)-(D23*$K$15)</f>
        <v>283326.09552761872</v>
      </c>
      <c r="E24" s="1">
        <f t="shared" si="2"/>
        <v>717446.12098865374</v>
      </c>
      <c r="F24" s="1">
        <f t="shared" si="0"/>
        <v>1.0456634727895537</v>
      </c>
      <c r="G24" s="1">
        <f t="shared" si="1"/>
        <v>1.4216466694138234</v>
      </c>
    </row>
    <row r="25" spans="1:11" x14ac:dyDescent="0.25">
      <c r="A25" s="1">
        <v>23</v>
      </c>
      <c r="B25" s="1">
        <f>B24+(C24*$K$16)-(B24*$K$11)-(B24*$K$13)</f>
        <v>135269.56261397427</v>
      </c>
      <c r="C25" s="1">
        <f>C24+(B24*$K$11)-(C24*$K$12)-(C24*$K$14)</f>
        <v>289824.69410114153</v>
      </c>
      <c r="D25" s="1">
        <f>D24+(C24*$K$12)-(D24*$K$15)</f>
        <v>283843.60166576656</v>
      </c>
      <c r="E25" s="1">
        <f t="shared" si="2"/>
        <v>708937.8583808823</v>
      </c>
      <c r="F25" s="1">
        <f t="shared" si="0"/>
        <v>1.0210717888311531</v>
      </c>
      <c r="G25" s="1">
        <f t="shared" si="1"/>
        <v>1.4460919749422072</v>
      </c>
    </row>
    <row r="26" spans="1:11" x14ac:dyDescent="0.25">
      <c r="A26" s="1">
        <v>24</v>
      </c>
      <c r="B26" s="1">
        <f>B25+(C25*$K$16)-(B25*$K$11)-(B25*$K$13)</f>
        <v>132718.18533217872</v>
      </c>
      <c r="C26" s="1">
        <f>C25+(B25*$K$11)-(C25*$K$12)-(C25*$K$14)</f>
        <v>283546.06099728891</v>
      </c>
      <c r="D26" s="1">
        <f>D25+(C25*$K$12)-(D25*$K$15)</f>
        <v>284082.84536318155</v>
      </c>
      <c r="E26" s="1">
        <f t="shared" si="2"/>
        <v>700347.09169264918</v>
      </c>
      <c r="F26" s="1">
        <f t="shared" si="0"/>
        <v>0.99811046539890014</v>
      </c>
      <c r="G26" s="1">
        <f t="shared" si="1"/>
        <v>1.4699588110283974</v>
      </c>
    </row>
    <row r="27" spans="1:11" x14ac:dyDescent="0.25">
      <c r="A27" s="1">
        <v>25</v>
      </c>
      <c r="B27" s="1">
        <f>B26+(C26*$K$16)-(B26*$K$11)-(B26*$K$13)</f>
        <v>130202.74879519692</v>
      </c>
      <c r="C27" s="1">
        <f>C26+(B26*$K$11)-(C26*$K$12)-(C26*$K$14)</f>
        <v>277422.39751901984</v>
      </c>
      <c r="D27" s="1">
        <f>D26+(C26*$K$12)-(D26*$K$15)</f>
        <v>284061.37398854585</v>
      </c>
      <c r="E27" s="1">
        <f t="shared" si="2"/>
        <v>691686.52030276263</v>
      </c>
      <c r="F27" s="1">
        <f t="shared" si="0"/>
        <v>0.97662837302971817</v>
      </c>
      <c r="G27" s="1">
        <f t="shared" si="1"/>
        <v>1.4932612741022151</v>
      </c>
    </row>
    <row r="28" spans="1:11" x14ac:dyDescent="0.25">
      <c r="A28" s="1">
        <v>26</v>
      </c>
      <c r="B28" s="1">
        <f>B27+(C27*$K$16)-(B27*$K$11)-(B27*$K$13)</f>
        <v>127723.74456942719</v>
      </c>
      <c r="C28" s="1">
        <f>C27+(B27*$K$11)-(C27*$K$12)-(C27*$K$14)</f>
        <v>271448.52707042382</v>
      </c>
      <c r="D28" s="1">
        <f>D27+(C27*$K$12)-(D27*$K$15)</f>
        <v>283795.81492976478</v>
      </c>
      <c r="E28" s="1">
        <f t="shared" si="2"/>
        <v>682968.08656961587</v>
      </c>
      <c r="F28" s="1">
        <f t="shared" si="0"/>
        <v>0.95649235397499877</v>
      </c>
      <c r="G28" s="1">
        <f t="shared" si="1"/>
        <v>1.5160132344075254</v>
      </c>
    </row>
    <row r="29" spans="1:11" x14ac:dyDescent="0.25">
      <c r="A29" s="1">
        <v>27</v>
      </c>
      <c r="B29" s="1">
        <f>B28+(C28*$K$16)-(B28*$K$11)-(B28*$K$13)</f>
        <v>125281.56150244275</v>
      </c>
      <c r="C29" s="1">
        <f>C28+(B28*$K$11)-(C28*$K$12)-(C28*$K$14)</f>
        <v>265619.53058072604</v>
      </c>
      <c r="D29" s="1">
        <f>D28+(C28*$K$12)-(D28*$K$15)</f>
        <v>283301.92341539118</v>
      </c>
      <c r="E29" s="1">
        <f t="shared" si="2"/>
        <v>674203.01549855992</v>
      </c>
      <c r="F29" s="1">
        <f t="shared" si="0"/>
        <v>0.9375846354253714</v>
      </c>
      <c r="G29" s="1">
        <f t="shared" si="1"/>
        <v>1.5382283223848212</v>
      </c>
    </row>
    <row r="30" spans="1:11" x14ac:dyDescent="0.25">
      <c r="A30" s="1">
        <v>28</v>
      </c>
      <c r="B30" s="1">
        <f>B29+(C29*$K$16)-(B29*$K$11)-(B29*$K$13)</f>
        <v>122876.49482452907</v>
      </c>
      <c r="C30" s="1">
        <f>C29+(B29*$K$11)-(C29*$K$12)-(C29*$K$14)</f>
        <v>259930.7297797155</v>
      </c>
      <c r="D30" s="1">
        <f>D29+(C29*$K$12)-(D29*$K$15)</f>
        <v>282594.62770200457</v>
      </c>
      <c r="E30" s="1">
        <f t="shared" si="2"/>
        <v>665401.85230624909</v>
      </c>
      <c r="F30" s="1">
        <f t="shared" si="0"/>
        <v>0.9198006766562169</v>
      </c>
      <c r="G30" s="1">
        <f t="shared" si="1"/>
        <v>1.55991991739553</v>
      </c>
    </row>
    <row r="31" spans="1:11" x14ac:dyDescent="0.25">
      <c r="A31" s="1">
        <v>29</v>
      </c>
      <c r="B31" s="1">
        <f>B30+(C30*$K$16)-(B30*$K$11)-(B30*$K$13)</f>
        <v>120508.75453517384</v>
      </c>
      <c r="C31" s="1">
        <f>C30+(B30*$K$11)-(C30*$K$12)-(C30*$K$14)</f>
        <v>254377.67168085478</v>
      </c>
      <c r="D31" s="1">
        <f>D30+(C30*$K$12)-(D30*$K$15)</f>
        <v>281688.07178511302</v>
      </c>
      <c r="E31" s="1">
        <f t="shared" si="2"/>
        <v>656574.49800114171</v>
      </c>
      <c r="F31" s="1">
        <f t="shared" si="0"/>
        <v>0.90304736749700887</v>
      </c>
      <c r="G31" s="1">
        <f t="shared" si="1"/>
        <v>1.5811011385656824</v>
      </c>
    </row>
    <row r="32" spans="1:11" x14ac:dyDescent="0.25">
      <c r="A32" s="1">
        <v>30</v>
      </c>
      <c r="B32" s="1">
        <f>B31+(C31*$K$16)-(B31*$K$11)-(B31*$K$13)</f>
        <v>118178.47312909279</v>
      </c>
      <c r="C32" s="1">
        <f>C31+(B31*$K$11)-(C31*$K$12)-(C31*$K$14)</f>
        <v>248956.11418197499</v>
      </c>
      <c r="D32" s="1">
        <f>D31+(C31*$K$12)-(D31*$K$15)</f>
        <v>280595.65578094264</v>
      </c>
      <c r="E32" s="1">
        <f t="shared" si="2"/>
        <v>647730.2430920105</v>
      </c>
      <c r="F32" s="1">
        <f t="shared" si="0"/>
        <v>0.8872415130201865</v>
      </c>
      <c r="G32" s="1">
        <f t="shared" si="1"/>
        <v>1.6017848375418915</v>
      </c>
    </row>
    <row r="33" spans="1:7" x14ac:dyDescent="0.25">
      <c r="A33" s="1">
        <v>31</v>
      </c>
      <c r="B33" s="1">
        <f>B32+(C32*$K$16)-(B32*$K$11)-(B32*$K$13)</f>
        <v>115885.71271223867</v>
      </c>
      <c r="C33" s="1">
        <f>C32+(B32*$K$11)-(C32*$K$12)-(C32*$K$14)</f>
        <v>243662.01270024074</v>
      </c>
      <c r="D33" s="1">
        <f>D32+(C32*$K$12)-(D32*$K$15)</f>
        <v>279330.07411698392</v>
      </c>
      <c r="E33" s="1">
        <f t="shared" si="2"/>
        <v>638877.79952946329</v>
      </c>
      <c r="F33" s="1">
        <f t="shared" si="0"/>
        <v>0.87230855277758124</v>
      </c>
      <c r="G33" s="1">
        <f t="shared" si="1"/>
        <v>1.6219835929674733</v>
      </c>
    </row>
    <row r="34" spans="1:7" x14ac:dyDescent="0.25">
      <c r="A34" s="1">
        <v>32</v>
      </c>
      <c r="B34" s="1">
        <f>B33+(C33*$K$16)-(B33*$K$11)-(B33*$K$13)</f>
        <v>113630.47155441812</v>
      </c>
      <c r="C34" s="1">
        <f>C33+(B33*$K$11)-(C33*$K$12)-(C33*$K$14)</f>
        <v>238491.50776434183</v>
      </c>
      <c r="D34" s="1">
        <f>D33+(C33*$K$12)-(D33*$K$15)</f>
        <v>277903.35166031419</v>
      </c>
      <c r="E34" s="1">
        <f t="shared" si="2"/>
        <v>630025.33097907412</v>
      </c>
      <c r="F34" s="1">
        <f t="shared" si="0"/>
        <v>0.858181473305345</v>
      </c>
      <c r="G34" s="1">
        <f t="shared" si="1"/>
        <v>1.6417097065008062</v>
      </c>
    </row>
    <row r="35" spans="1:7" x14ac:dyDescent="0.25">
      <c r="A35" s="1">
        <v>33</v>
      </c>
      <c r="B35" s="1">
        <f>B34+(C34*$K$16)-(B34*$K$11)-(B34*$K$13)</f>
        <v>111412.69012160793</v>
      </c>
      <c r="C35" s="1">
        <f>C34+(B34*$K$11)-(C34*$K$12)-(C34*$K$14)</f>
        <v>233440.91349266737</v>
      </c>
      <c r="D35" s="1">
        <f>D34+(C34*$K$12)-(D34*$K$15)</f>
        <v>276326.87790447532</v>
      </c>
      <c r="E35" s="1">
        <f t="shared" si="2"/>
        <v>621180.48151875054</v>
      </c>
      <c r="F35" s="1">
        <f t="shared" si="0"/>
        <v>0.84479988071723744</v>
      </c>
      <c r="G35" s="1">
        <f t="shared" si="1"/>
        <v>1.6609752002116911</v>
      </c>
    </row>
    <row r="36" spans="1:7" x14ac:dyDescent="0.25">
      <c r="A36" s="1">
        <v>34</v>
      </c>
      <c r="B36" s="1">
        <f>B35+(C35*$K$16)-(B35*$K$11)-(B35*$K$13)</f>
        <v>109232.25662779593</v>
      </c>
      <c r="C36" s="1">
        <f>C35+(B35*$K$11)-(C35*$K$12)-(C35*$K$14)</f>
        <v>228506.70689157772</v>
      </c>
      <c r="D36" s="1">
        <f>D35+(C35*$K$12)-(D35*$K$15)</f>
        <v>274611.43932800298</v>
      </c>
      <c r="E36" s="1">
        <f t="shared" si="2"/>
        <v>612350.40284737665</v>
      </c>
      <c r="F36" s="1">
        <f t="shared" si="0"/>
        <v>0.83210920656019516</v>
      </c>
      <c r="G36" s="1">
        <f t="shared" si="1"/>
        <v>1.6797918152044691</v>
      </c>
    </row>
    <row r="37" spans="1:7" x14ac:dyDescent="0.25">
      <c r="A37" s="1">
        <v>35</v>
      </c>
      <c r="B37" s="1">
        <f>B36+(C36*$K$16)-(B36*$K$11)-(B36*$K$13)</f>
        <v>107089.01214315199</v>
      </c>
      <c r="C37" s="1">
        <f>C36+(B36*$K$11)-(C36*$K$12)-(C36*$K$14)</f>
        <v>223685.51791284652</v>
      </c>
      <c r="D37" s="1">
        <f>D36+(C36*$K$12)-(D36*$K$15)</f>
        <v>272767.25003054593</v>
      </c>
      <c r="E37" s="1">
        <f t="shared" si="2"/>
        <v>603541.78008654446</v>
      </c>
      <c r="F37" s="1">
        <f t="shared" si="0"/>
        <v>0.82006002512323983</v>
      </c>
      <c r="G37" s="1">
        <f t="shared" si="1"/>
        <v>1.6981710113289472</v>
      </c>
    </row>
    <row r="38" spans="1:7" x14ac:dyDescent="0.25">
      <c r="A38" s="1">
        <v>36</v>
      </c>
      <c r="B38" s="1">
        <f>B37+(C37*$K$16)-(B37*$K$11)-(B37*$K$13)</f>
        <v>104982.75529254392</v>
      </c>
      <c r="C38" s="1">
        <f>C37+(B37*$K$11)-(C37*$K$12)-(C37*$K$14)</f>
        <v>218974.12021392604</v>
      </c>
      <c r="D38" s="1">
        <f>D37+(C37*$K$12)-(D37*$K$15)</f>
        <v>270803.98074583797</v>
      </c>
      <c r="E38" s="1">
        <f t="shared" si="2"/>
        <v>594760.856252308</v>
      </c>
      <c r="F38" s="1">
        <f t="shared" si="0"/>
        <v>0.80860746437639464</v>
      </c>
      <c r="G38" s="1">
        <f t="shared" si="1"/>
        <v>1.7161239678518094</v>
      </c>
    </row>
    <row r="39" spans="1:7" x14ac:dyDescent="0.25">
      <c r="A39" s="1">
        <v>37</v>
      </c>
      <c r="B39" s="1">
        <f>B38+(C38*$K$16)-(B38*$K$11)-(B38*$K$13)</f>
        <v>102913.24657583307</v>
      </c>
      <c r="C39" s="1">
        <f>C38+(B38*$K$11)-(C38*$K$12)-(C38*$K$14)</f>
        <v>214369.42256892659</v>
      </c>
      <c r="D39" s="1">
        <f>D38+(C38*$K$12)-(D38*$K$15)</f>
        <v>268730.78632456152</v>
      </c>
      <c r="E39" s="1">
        <f t="shared" si="2"/>
        <v>586013.45546932123</v>
      </c>
      <c r="F39" s="1">
        <f t="shared" si="0"/>
        <v>0.79771069590076815</v>
      </c>
      <c r="G39" s="1">
        <f t="shared" si="1"/>
        <v>1.7336615849720787</v>
      </c>
    </row>
    <row r="40" spans="1:7" x14ac:dyDescent="0.25">
      <c r="A40" s="1">
        <v>38</v>
      </c>
      <c r="B40" s="1">
        <f>B39+(C39*$K$16)-(B39*$K$11)-(B39*$K$13)</f>
        <v>100880.21233899948</v>
      </c>
      <c r="C40" s="1">
        <f>C39+(B39*$K$11)-(C39*$K$12)-(C39*$K$14)</f>
        <v>209868.46088211655</v>
      </c>
      <c r="D40" s="1">
        <f>D39+(C39*$K$12)-(D39*$K$15)</f>
        <v>266556.33177433611</v>
      </c>
      <c r="E40" s="1">
        <f t="shared" si="2"/>
        <v>577305.00499545212</v>
      </c>
      <c r="F40" s="1">
        <f t="shared" si="0"/>
        <v>0.7873324917293244</v>
      </c>
      <c r="G40" s="1">
        <f t="shared" si="1"/>
        <v>1.750794486074424</v>
      </c>
    </row>
    <row r="41" spans="1:7" x14ac:dyDescent="0.25">
      <c r="A41" s="1">
        <v>39</v>
      </c>
      <c r="B41" s="1">
        <f>B40+(C40*$K$16)-(B40*$K$11)-(B40*$K$13)</f>
        <v>98883.348422942247</v>
      </c>
      <c r="C41" s="1">
        <f>C40+(B40*$K$11)-(C40*$K$12)-(C40*$K$14)</f>
        <v>205468.39075937125</v>
      </c>
      <c r="D41" s="1">
        <f>D40+(C40*$K$12)-(D40*$K$15)</f>
        <v>264288.8169386473</v>
      </c>
      <c r="E41" s="1">
        <f t="shared" si="2"/>
        <v>568640.55612096074</v>
      </c>
      <c r="F41" s="1">
        <f t="shared" si="0"/>
        <v>0.77743883808397851</v>
      </c>
      <c r="G41" s="1">
        <f t="shared" si="1"/>
        <v>1.7675330206236384</v>
      </c>
    </row>
    <row r="42" spans="1:7" x14ac:dyDescent="0.25">
      <c r="A42" s="1">
        <v>40</v>
      </c>
      <c r="B42" s="1">
        <f>B41+(C41*$K$16)-(B41*$K$11)-(B41*$K$13)</f>
        <v>96922.323514762771</v>
      </c>
      <c r="C42" s="1">
        <f>C41+(B41*$K$11)-(C41*$K$12)-(C41*$K$14)</f>
        <v>201166.48059634666</v>
      </c>
      <c r="D42" s="1">
        <f>D41+(C41*$K$12)-(D41*$K$15)</f>
        <v>261935.99989147627</v>
      </c>
      <c r="E42" s="1">
        <f t="shared" si="2"/>
        <v>560024.8040025857</v>
      </c>
      <c r="F42" s="1">
        <f t="shared" si="0"/>
        <v>0.76799859767154088</v>
      </c>
      <c r="G42" s="1">
        <f t="shared" si="1"/>
        <v>1.7838872676124959</v>
      </c>
    </row>
    <row r="43" spans="1:7" x14ac:dyDescent="0.25">
      <c r="A43" s="1">
        <v>41</v>
      </c>
      <c r="B43" s="1">
        <f>B42+(C42*$K$16)-(B42*$K$11)-(B42*$K$13)</f>
        <v>94996.782224455077</v>
      </c>
      <c r="C43" s="1">
        <f>C42+(B42*$K$11)-(C42*$K$12)-(C42*$K$14)</f>
        <v>196960.1051452492</v>
      </c>
      <c r="D43" s="1">
        <f>D42+(C42*$K$12)-(D42*$K$15)</f>
        <v>259505.21911967109</v>
      </c>
      <c r="E43" s="1">
        <f t="shared" si="2"/>
        <v>551462.10648937535</v>
      </c>
      <c r="F43" s="1">
        <f t="shared" si="0"/>
        <v>0.75898321356851339</v>
      </c>
      <c r="G43" s="1">
        <f t="shared" si="1"/>
        <v>1.7998670394834373</v>
      </c>
    </row>
    <row r="44" spans="1:7" x14ac:dyDescent="0.25">
      <c r="A44" s="1">
        <v>42</v>
      </c>
      <c r="B44" s="1">
        <f>B43+(C43*$K$16)-(B43*$K$11)-(B43*$K$13)</f>
        <v>93106.34790818661</v>
      </c>
      <c r="C44" s="1">
        <f>C43+(B43*$K$11)-(C43*$K$12)-(C43*$K$14)</f>
        <v>192846.73952493572</v>
      </c>
      <c r="D44" s="1">
        <f>D43+(C43*$K$12)-(D43*$K$15)</f>
        <v>257003.41456069425</v>
      </c>
      <c r="E44" s="1">
        <f t="shared" si="2"/>
        <v>542956.50199381658</v>
      </c>
      <c r="F44" s="1">
        <f t="shared" si="0"/>
        <v>0.75036644884495418</v>
      </c>
      <c r="G44" s="1">
        <f t="shared" si="1"/>
        <v>1.8154818864521716</v>
      </c>
    </row>
    <row r="45" spans="1:7" x14ac:dyDescent="0.25">
      <c r="A45" s="1">
        <v>43</v>
      </c>
      <c r="B45" s="1">
        <f>B44+(C44*$K$16)-(B44*$K$11)-(B44*$K$13)</f>
        <v>91250.625257743115</v>
      </c>
      <c r="C45" s="1">
        <f>C44+(B44*$K$11)-(C44*$K$12)-(C44*$K$14)</f>
        <v>188823.95364172297</v>
      </c>
      <c r="D45" s="1">
        <f>D44+(C44*$K$12)-(D44*$K$15)</f>
        <v>254437.14755926392</v>
      </c>
      <c r="E45" s="1">
        <f t="shared" si="2"/>
        <v>534511.72645872994</v>
      </c>
      <c r="F45" s="1">
        <f t="shared" si="0"/>
        <v>0.74212415699929113</v>
      </c>
      <c r="G45" s="1">
        <f t="shared" si="1"/>
        <v>1.8307411011683377</v>
      </c>
    </row>
    <row r="46" spans="1:7" x14ac:dyDescent="0.25">
      <c r="A46" s="1">
        <v>44</v>
      </c>
      <c r="B46" s="1">
        <f>B45+(C45*$K$16)-(B45*$K$11)-(B45*$K$13)</f>
        <v>89429.202674224056</v>
      </c>
      <c r="C46" s="1">
        <f>C45+(B45*$K$11)-(C45*$K$12)-(C45*$K$14)</f>
        <v>184889.40699073256</v>
      </c>
      <c r="D46" s="1">
        <f>D45+(C45*$K$12)-(D45*$K$15)</f>
        <v>251812.61980256226</v>
      </c>
      <c r="E46" s="1">
        <f t="shared" si="2"/>
        <v>526131.22946751886</v>
      </c>
      <c r="F46" s="1">
        <f t="shared" si="0"/>
        <v>0.73423407903741311</v>
      </c>
      <c r="G46" s="1">
        <f t="shared" si="1"/>
        <v>1.8456537236548702</v>
      </c>
    </row>
    <row r="47" spans="1:7" x14ac:dyDescent="0.25">
      <c r="A47" s="1">
        <v>45</v>
      </c>
      <c r="B47" s="1">
        <f>B46+(C46*$K$16)-(B46*$K$11)-(B46*$K$13)</f>
        <v>87641.654442699626</v>
      </c>
      <c r="C47" s="1">
        <f>C46+(B46*$K$11)-(C46*$K$12)-(C46*$K$14)</f>
        <v>181040.84380986079</v>
      </c>
      <c r="D47" s="1">
        <f>D46+(C46*$K$12)-(D46*$K$15)</f>
        <v>249135.69129008907</v>
      </c>
      <c r="E47" s="1">
        <f t="shared" si="2"/>
        <v>517818.18954264943</v>
      </c>
      <c r="F47" s="1">
        <f t="shared" si="0"/>
        <v>0.72667566366097303</v>
      </c>
      <c r="G47" s="1">
        <f t="shared" si="1"/>
        <v>1.8602285464736956</v>
      </c>
    </row>
    <row r="48" spans="1:7" x14ac:dyDescent="0.25">
      <c r="A48" s="1">
        <v>46</v>
      </c>
      <c r="B48" s="1">
        <f>B47+(C47*$K$16)-(B47*$K$11)-(B47*$K$13)</f>
        <v>85887.542723269857</v>
      </c>
      <c r="C48" s="1">
        <f>C47+(B47*$K$11)-(C47*$K$12)-(C47*$K$14)</f>
        <v>177276.08856055202</v>
      </c>
      <c r="D48" s="1">
        <f>D47+(C47*$K$12)-(D47*$K$15)</f>
        <v>246411.89739087995</v>
      </c>
      <c r="E48" s="1">
        <f t="shared" si="2"/>
        <v>509575.52867470181</v>
      </c>
      <c r="F48" s="1">
        <f t="shared" si="0"/>
        <v>0.71942990755572689</v>
      </c>
      <c r="G48" s="1">
        <f t="shared" si="1"/>
        <v>1.8744741200708894</v>
      </c>
    </row>
    <row r="49" spans="1:7" x14ac:dyDescent="0.25">
      <c r="A49" s="1">
        <v>47</v>
      </c>
      <c r="B49" s="1">
        <f>B48+(C48*$K$16)-(B48*$K$11)-(B48*$K$13)</f>
        <v>84166.419372791381</v>
      </c>
      <c r="C49" s="1">
        <f>C48+(B48*$K$11)-(C48*$K$12)-(C48*$K$14)</f>
        <v>173593.04171149066</v>
      </c>
      <c r="D49" s="1">
        <f>D48+(C48*$K$12)-(D48*$K$15)</f>
        <v>243646.46503766684</v>
      </c>
      <c r="E49" s="1">
        <f t="shared" si="2"/>
        <v>501405.92612194887</v>
      </c>
      <c r="F49" s="1">
        <f t="shared" si="0"/>
        <v>0.71247921321022989</v>
      </c>
      <c r="G49" s="1">
        <f t="shared" si="1"/>
        <v>1.8883987582594404</v>
      </c>
    </row>
    <row r="50" spans="1:7" x14ac:dyDescent="0.25">
      <c r="A50" s="1">
        <v>48</v>
      </c>
      <c r="B50" s="1">
        <f>B49+(C49*$K$16)-(B49*$K$11)-(B49*$K$13)</f>
        <v>82477.827610451379</v>
      </c>
      <c r="C50" s="1">
        <f>C49+(B49*$K$11)-(C49*$K$12)-(C49*$K$14)</f>
        <v>169989.67580311315</v>
      </c>
      <c r="D50" s="1">
        <f>D49+(C49*$K$12)-(D49*$K$15)</f>
        <v>240844.32810461978</v>
      </c>
      <c r="E50" s="1">
        <f t="shared" si="2"/>
        <v>493311.83151818428</v>
      </c>
      <c r="F50" s="1">
        <f t="shared" si="0"/>
        <v>0.70580726206378319</v>
      </c>
      <c r="G50" s="1">
        <f t="shared" si="1"/>
        <v>1.9020105438023895</v>
      </c>
    </row>
    <row r="51" spans="1:7" x14ac:dyDescent="0.25">
      <c r="A51" s="1">
        <v>49</v>
      </c>
      <c r="B51" s="1">
        <f>B50+(C50*$K$16)-(B50*$K$11)-(B50*$K$13)</f>
        <v>80821.30353936505</v>
      </c>
      <c r="C51" s="1">
        <f>C50+(B50*$K$11)-(C50*$K$12)-(C50*$K$14)</f>
        <v>166464.03177249563</v>
      </c>
      <c r="D51" s="1">
        <f>D50+(C50*$K$12)-(D50*$K$15)</f>
        <v>238010.14201255952</v>
      </c>
      <c r="E51" s="1">
        <f t="shared" si="2"/>
        <v>485295.47732442018</v>
      </c>
      <c r="F51" s="1">
        <f t="shared" si="0"/>
        <v>0.69939890109267489</v>
      </c>
      <c r="G51" s="1">
        <f t="shared" si="1"/>
        <v>1.9153173340632987</v>
      </c>
    </row>
    <row r="52" spans="1:7" x14ac:dyDescent="0.25">
      <c r="A52" s="1">
        <v>50</v>
      </c>
      <c r="B52" s="1">
        <f>B51+(C51*$K$16)-(B51*$K$11)-(B51*$K$13)</f>
        <v>79196.377535444859</v>
      </c>
      <c r="C52" s="1">
        <f>C51+(B51*$K$11)-(C51*$K$12)-(C51*$K$14)</f>
        <v>163014.21551970157</v>
      </c>
      <c r="D52" s="1">
        <f>D51+(C51*$K$12)-(D51*$K$15)</f>
        <v>235148.29760295697</v>
      </c>
      <c r="E52" s="1">
        <f t="shared" si="2"/>
        <v>477358.8906581034</v>
      </c>
      <c r="F52" s="1">
        <f t="shared" si="0"/>
        <v>0.69324004120560423</v>
      </c>
      <c r="G52" s="1">
        <f t="shared" si="1"/>
        <v>1.9283267666948392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037F-5E8C-4316-9621-BA74FC113818}">
  <dimension ref="A1:C9"/>
  <sheetViews>
    <sheetView zoomScale="170" zoomScaleNormal="170" workbookViewId="0">
      <selection activeCell="B17" sqref="B17"/>
    </sheetView>
  </sheetViews>
  <sheetFormatPr defaultRowHeight="15" x14ac:dyDescent="0.25"/>
  <cols>
    <col min="1" max="1" width="18.42578125" customWidth="1"/>
    <col min="2" max="2" width="27.140625" customWidth="1"/>
  </cols>
  <sheetData>
    <row r="1" spans="1:3" ht="15.75" thickBot="1" x14ac:dyDescent="0.3">
      <c r="A1" s="3" t="s">
        <v>0</v>
      </c>
      <c r="B1" s="4" t="s">
        <v>2</v>
      </c>
      <c r="C1" s="5" t="s">
        <v>3</v>
      </c>
    </row>
    <row r="2" spans="1:3" x14ac:dyDescent="0.25">
      <c r="A2" s="2" t="s">
        <v>1</v>
      </c>
      <c r="B2" s="2" t="s">
        <v>9</v>
      </c>
      <c r="C2" s="2">
        <v>0.02</v>
      </c>
    </row>
    <row r="3" spans="1:3" x14ac:dyDescent="0.25">
      <c r="A3" s="1" t="s">
        <v>4</v>
      </c>
      <c r="B3" s="1" t="s">
        <v>10</v>
      </c>
      <c r="C3" s="1">
        <v>0.05</v>
      </c>
    </row>
    <row r="4" spans="1:3" x14ac:dyDescent="0.25">
      <c r="A4" s="1" t="s">
        <v>5</v>
      </c>
      <c r="B4" s="1" t="s">
        <v>11</v>
      </c>
      <c r="C4" s="1">
        <v>0.04</v>
      </c>
    </row>
    <row r="5" spans="1:3" x14ac:dyDescent="0.25">
      <c r="A5" s="1" t="s">
        <v>8</v>
      </c>
      <c r="B5" s="1" t="s">
        <v>12</v>
      </c>
      <c r="C5" s="1">
        <v>1E-3</v>
      </c>
    </row>
    <row r="6" spans="1:3" x14ac:dyDescent="0.25">
      <c r="A6" s="1" t="s">
        <v>6</v>
      </c>
      <c r="B6" s="1" t="s">
        <v>12</v>
      </c>
      <c r="C6" s="1">
        <v>5.0000000000000001E-3</v>
      </c>
    </row>
    <row r="7" spans="1:3" x14ac:dyDescent="0.25">
      <c r="A7" s="1" t="s">
        <v>7</v>
      </c>
      <c r="B7" s="1" t="s">
        <v>12</v>
      </c>
      <c r="C7" s="1">
        <v>0.04</v>
      </c>
    </row>
    <row r="8" spans="1:3" x14ac:dyDescent="0.25">
      <c r="A8" s="6" t="s">
        <v>20</v>
      </c>
      <c r="B8" s="1" t="s">
        <v>21</v>
      </c>
      <c r="C8" s="1">
        <v>1.4999999999999999E-2</v>
      </c>
    </row>
    <row r="9" spans="1:3" x14ac:dyDescent="0.25">
      <c r="A9" s="6" t="s">
        <v>23</v>
      </c>
      <c r="B9" s="1" t="s">
        <v>22</v>
      </c>
      <c r="C9" s="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E517-CE4A-4008-89C1-EE159344FD93}">
  <dimension ref="A1:K52"/>
  <sheetViews>
    <sheetView tabSelected="1" zoomScaleNormal="100" workbookViewId="0">
      <pane ySplit="1" topLeftCell="A2" activePane="bottomLeft" state="frozen"/>
      <selection pane="bottomLeft" activeCell="K28" sqref="K28"/>
    </sheetView>
  </sheetViews>
  <sheetFormatPr defaultRowHeight="15" x14ac:dyDescent="0.25"/>
  <cols>
    <col min="5" max="5" width="16" customWidth="1"/>
    <col min="6" max="6" width="19.85546875" customWidth="1"/>
    <col min="7" max="7" width="17.140625" customWidth="1"/>
    <col min="8" max="8" width="8.7109375" customWidth="1"/>
  </cols>
  <sheetData>
    <row r="1" spans="1:11" ht="15.75" thickBot="1" x14ac:dyDescent="0.3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10" t="s">
        <v>18</v>
      </c>
      <c r="G1" s="7" t="s">
        <v>19</v>
      </c>
      <c r="H1" s="9"/>
      <c r="I1" s="8"/>
      <c r="J1" s="9"/>
    </row>
    <row r="2" spans="1:11" ht="15.75" thickBot="1" x14ac:dyDescent="0.3">
      <c r="A2" s="2">
        <v>0</v>
      </c>
      <c r="B2" s="2">
        <v>200000</v>
      </c>
      <c r="C2" s="2">
        <v>500000</v>
      </c>
      <c r="D2" s="2">
        <v>150000</v>
      </c>
      <c r="E2" s="2">
        <f>SUM(B2:D2)</f>
        <v>850000</v>
      </c>
      <c r="F2" s="2">
        <f>C2/D2</f>
        <v>3.3333333333333335</v>
      </c>
      <c r="G2" s="2">
        <f>(B2+D2)/C2</f>
        <v>0.7</v>
      </c>
      <c r="I2" s="3" t="s">
        <v>0</v>
      </c>
      <c r="J2" s="4" t="s">
        <v>2</v>
      </c>
      <c r="K2" s="5" t="s">
        <v>3</v>
      </c>
    </row>
    <row r="3" spans="1:11" x14ac:dyDescent="0.25">
      <c r="A3" s="1">
        <v>1</v>
      </c>
      <c r="B3" s="1">
        <f>B2+(C2*$K$3)-(B2*$K$4)-(B2*$K$6)</f>
        <v>199800</v>
      </c>
      <c r="C3" s="1">
        <f>C2+(B2*$K$4)-(C2*$K$5)-(C2*$K$7)</f>
        <v>487500</v>
      </c>
      <c r="D3" s="1">
        <f>D2+(C2*$K$5)-(D2*$K$8)</f>
        <v>164000</v>
      </c>
      <c r="E3" s="1">
        <f>SUM(B3:D3)</f>
        <v>851300</v>
      </c>
      <c r="F3" s="1">
        <f t="shared" ref="F3:F52" si="0">C3/D3</f>
        <v>2.9725609756097562</v>
      </c>
      <c r="G3" s="1">
        <f t="shared" ref="G3:G52" si="1">(B3+D3)/C3</f>
        <v>0.74625641025641021</v>
      </c>
      <c r="I3" s="2" t="s">
        <v>1</v>
      </c>
      <c r="J3" s="2" t="s">
        <v>9</v>
      </c>
      <c r="K3" s="2">
        <v>0.02</v>
      </c>
    </row>
    <row r="4" spans="1:11" x14ac:dyDescent="0.25">
      <c r="A4" s="1">
        <v>2</v>
      </c>
      <c r="B4" s="1">
        <f>B3+(C3*$K$3)-(B3*$K$4)-(B3*$K$6)</f>
        <v>199360.2</v>
      </c>
      <c r="C4" s="1">
        <f>C3+(B3*$K$4)-(C3*$K$5)-(C3*$K$7)</f>
        <v>475552.5</v>
      </c>
      <c r="D4" s="1">
        <f>D3+(C3*$K$5)-(D3*$K$8)</f>
        <v>176940</v>
      </c>
      <c r="E4" s="1">
        <f t="shared" ref="E4:E52" si="2">SUM(B4:D4)</f>
        <v>851852.7</v>
      </c>
      <c r="F4" s="1">
        <f t="shared" si="0"/>
        <v>2.6876483553747033</v>
      </c>
      <c r="G4" s="1">
        <f t="shared" si="1"/>
        <v>0.79129055151639416</v>
      </c>
      <c r="I4" s="1" t="s">
        <v>4</v>
      </c>
      <c r="J4" s="1" t="s">
        <v>10</v>
      </c>
      <c r="K4" s="1">
        <v>0.05</v>
      </c>
    </row>
    <row r="5" spans="1:11" x14ac:dyDescent="0.25">
      <c r="A5" s="1">
        <v>3</v>
      </c>
      <c r="B5" s="1">
        <f>B4+(C4*$K$3)-(B4*$K$4)-(B4*$K$6)</f>
        <v>198703.8798</v>
      </c>
      <c r="C5" s="1">
        <f>C4+(B4*$K$4)-(C4*$K$5)-(C4*$K$7)</f>
        <v>464120.64750000002</v>
      </c>
      <c r="D5" s="1">
        <f>D4+(C4*$K$5)-(D4*$K$8)</f>
        <v>188884.5</v>
      </c>
      <c r="E5" s="1">
        <f t="shared" si="2"/>
        <v>851709.02729999996</v>
      </c>
      <c r="F5" s="1">
        <f t="shared" si="0"/>
        <v>2.4571664032781939</v>
      </c>
      <c r="G5" s="1">
        <f t="shared" si="1"/>
        <v>0.83510264386589261</v>
      </c>
      <c r="I5" s="1" t="s">
        <v>5</v>
      </c>
      <c r="J5" s="1" t="s">
        <v>11</v>
      </c>
      <c r="K5" s="1">
        <v>0.04</v>
      </c>
    </row>
    <row r="6" spans="1:11" x14ac:dyDescent="0.25">
      <c r="A6" s="1">
        <v>4</v>
      </c>
      <c r="B6" s="1">
        <f>B5+(C5*$K$3)-(B5*$K$4)-(B5*$K$6)</f>
        <v>197852.39488019998</v>
      </c>
      <c r="C6" s="1">
        <f>C5+(B5*$K$4)-(C5*$K$5)-(C5*$K$7)</f>
        <v>453170.41235250002</v>
      </c>
      <c r="D6" s="1">
        <f>D5+(C5*$K$5)-(D5*$K$8)</f>
        <v>199893.94589999999</v>
      </c>
      <c r="E6" s="1">
        <f t="shared" si="2"/>
        <v>850916.75313269999</v>
      </c>
      <c r="F6" s="1">
        <f t="shared" si="0"/>
        <v>2.2670542137339438</v>
      </c>
      <c r="G6" s="1">
        <f t="shared" si="1"/>
        <v>0.87769706480927911</v>
      </c>
      <c r="I6" s="1" t="s">
        <v>8</v>
      </c>
      <c r="J6" s="1" t="s">
        <v>12</v>
      </c>
      <c r="K6" s="1">
        <v>1E-3</v>
      </c>
    </row>
    <row r="7" spans="1:11" x14ac:dyDescent="0.25">
      <c r="A7" s="1">
        <v>5</v>
      </c>
      <c r="B7" s="1">
        <f>B6+(C6*$K$3)-(B6*$K$4)-(B6*$K$6)</f>
        <v>196825.33098835978</v>
      </c>
      <c r="C7" s="1">
        <f>C6+(B6*$K$4)-(C6*$K$5)-(C6*$K$7)</f>
        <v>442670.36354064755</v>
      </c>
      <c r="D7" s="1">
        <f>D6+(C6*$K$5)-(D6*$K$8)</f>
        <v>210025.00455809999</v>
      </c>
      <c r="E7" s="1">
        <f t="shared" si="2"/>
        <v>849520.69908710732</v>
      </c>
      <c r="F7" s="1">
        <f t="shared" si="0"/>
        <v>2.1077031493085387</v>
      </c>
      <c r="G7" s="1">
        <f t="shared" si="1"/>
        <v>0.91908193783815695</v>
      </c>
      <c r="I7" s="1" t="s">
        <v>6</v>
      </c>
      <c r="J7" s="1" t="s">
        <v>12</v>
      </c>
      <c r="K7" s="1">
        <v>5.0000000000000001E-3</v>
      </c>
    </row>
    <row r="8" spans="1:11" x14ac:dyDescent="0.25">
      <c r="A8" s="1">
        <v>6</v>
      </c>
      <c r="B8" s="1">
        <f>B7+(C7*$K$3)-(B7*$K$4)-(B7*$K$6)</f>
        <v>195640.6463787664</v>
      </c>
      <c r="C8" s="1">
        <f>C7+(B7*$K$4)-(C7*$K$5)-(C7*$K$7)</f>
        <v>432591.4637307364</v>
      </c>
      <c r="D8" s="1">
        <f>D7+(C7*$K$5)-(D7*$K$8)</f>
        <v>219330.81891740189</v>
      </c>
      <c r="E8" s="1">
        <f t="shared" si="2"/>
        <v>847562.92902690475</v>
      </c>
      <c r="F8" s="1">
        <f t="shared" si="0"/>
        <v>1.9723241169023613</v>
      </c>
      <c r="G8" s="1">
        <f t="shared" si="1"/>
        <v>0.95926873294583648</v>
      </c>
      <c r="I8" s="1" t="s">
        <v>7</v>
      </c>
      <c r="J8" s="1" t="s">
        <v>12</v>
      </c>
      <c r="K8" s="1">
        <v>0.04</v>
      </c>
    </row>
    <row r="9" spans="1:11" x14ac:dyDescent="0.25">
      <c r="A9" s="1">
        <v>7</v>
      </c>
      <c r="B9" s="1">
        <f>B8+(C8*$K$3)-(B8*$K$4)-(B8*$K$6)</f>
        <v>194314.80268806402</v>
      </c>
      <c r="C9" s="1">
        <f>C8+(B8*$K$4)-(C8*$K$5)-(C8*$K$7)</f>
        <v>422906.88018179155</v>
      </c>
      <c r="D9" s="1">
        <f>D8+(C8*$K$5)-(D8*$K$8)</f>
        <v>227861.24470993527</v>
      </c>
      <c r="E9" s="1">
        <f t="shared" si="2"/>
        <v>845082.92757979082</v>
      </c>
      <c r="F9" s="1">
        <f t="shared" si="0"/>
        <v>1.8559842447983952</v>
      </c>
      <c r="G9" s="1">
        <f t="shared" si="1"/>
        <v>0.99827188249224497</v>
      </c>
    </row>
    <row r="10" spans="1:11" x14ac:dyDescent="0.25">
      <c r="A10" s="1">
        <v>8</v>
      </c>
      <c r="B10" s="1">
        <f>B9+(C9*$K$3)-(B9*$K$4)-(B9*$K$6)</f>
        <v>192862.88535460862</v>
      </c>
      <c r="C10" s="1">
        <f>C9+(B9*$K$4)-(C9*$K$5)-(C9*$K$7)</f>
        <v>413591.81070801412</v>
      </c>
      <c r="D10" s="1">
        <f>D9+(C9*$K$5)-(D9*$K$8)</f>
        <v>235663.07012880952</v>
      </c>
      <c r="E10" s="1">
        <f t="shared" si="2"/>
        <v>842117.76619143225</v>
      </c>
      <c r="F10" s="1">
        <f t="shared" si="0"/>
        <v>1.7550132504085247</v>
      </c>
      <c r="G10" s="1">
        <f t="shared" si="1"/>
        <v>1.0361084150816207</v>
      </c>
    </row>
    <row r="11" spans="1:11" x14ac:dyDescent="0.25">
      <c r="A11" s="1">
        <v>9</v>
      </c>
      <c r="B11" s="1">
        <f>B10+(C10*$K$3)-(B10*$K$4)-(B10*$K$6)</f>
        <v>191298.71441568385</v>
      </c>
      <c r="C11" s="1">
        <f>C10+(B10*$K$4)-(C10*$K$5)-(C10*$K$7)</f>
        <v>404623.32349388389</v>
      </c>
      <c r="D11" s="1">
        <f>D10+(C10*$K$5)-(D10*$K$8)</f>
        <v>242780.21975197771</v>
      </c>
      <c r="E11" s="1">
        <f t="shared" si="2"/>
        <v>838702.25766154542</v>
      </c>
      <c r="F11" s="1">
        <f t="shared" si="0"/>
        <v>1.6666239280417645</v>
      </c>
      <c r="G11" s="1">
        <f t="shared" si="1"/>
        <v>1.072797609439395</v>
      </c>
    </row>
    <row r="12" spans="1:11" x14ac:dyDescent="0.25">
      <c r="A12" s="1">
        <v>10</v>
      </c>
      <c r="B12" s="1">
        <f>B11+(C11*$K$3)-(B11*$K$4)-(B11*$K$6)</f>
        <v>189634.94645036166</v>
      </c>
      <c r="C12" s="1">
        <f>C11+(B11*$K$4)-(C11*$K$5)-(C11*$K$7)</f>
        <v>395980.20965744328</v>
      </c>
      <c r="D12" s="1">
        <f>D11+(C11*$K$5)-(D11*$K$8)</f>
        <v>249253.94390165395</v>
      </c>
      <c r="E12" s="1">
        <f t="shared" si="2"/>
        <v>834869.10000945895</v>
      </c>
      <c r="F12" s="1">
        <f t="shared" si="0"/>
        <v>1.5886617618122099</v>
      </c>
      <c r="G12" s="1">
        <f t="shared" si="1"/>
        <v>1.1083606696700625</v>
      </c>
    </row>
    <row r="13" spans="1:11" x14ac:dyDescent="0.25">
      <c r="A13" s="1">
        <v>11</v>
      </c>
      <c r="B13" s="1">
        <f>B12+(C12*$K$3)-(B12*$K$4)-(B12*$K$6)</f>
        <v>187883.16837454209</v>
      </c>
      <c r="C13" s="1">
        <f>C12+(B12*$K$4)-(C12*$K$5)-(C12*$K$7)</f>
        <v>387642.8475453764</v>
      </c>
      <c r="D13" s="1">
        <f>D12+(C12*$K$5)-(D12*$K$8)</f>
        <v>255122.99453188552</v>
      </c>
      <c r="E13" s="1">
        <f t="shared" si="2"/>
        <v>830649.01045180392</v>
      </c>
      <c r="F13" s="1">
        <f t="shared" si="0"/>
        <v>1.5194351581543875</v>
      </c>
      <c r="G13" s="1">
        <f t="shared" si="1"/>
        <v>1.1428204227464058</v>
      </c>
    </row>
    <row r="14" spans="1:11" x14ac:dyDescent="0.25">
      <c r="A14" s="1">
        <v>12</v>
      </c>
      <c r="B14" s="1">
        <f>B13+(C13*$K$3)-(B13*$K$4)-(B13*$K$6)</f>
        <v>186053.98373834798</v>
      </c>
      <c r="C14" s="1">
        <f>C13+(B13*$K$4)-(C13*$K$5)-(C13*$K$7)</f>
        <v>379593.07782456157</v>
      </c>
      <c r="D14" s="1">
        <f>D13+(C13*$K$5)-(D13*$K$8)</f>
        <v>260423.78865242514</v>
      </c>
      <c r="E14" s="1">
        <f t="shared" si="2"/>
        <v>826070.85021533468</v>
      </c>
      <c r="F14" s="1">
        <f t="shared" si="0"/>
        <v>1.4575975558484247</v>
      </c>
      <c r="G14" s="1">
        <f t="shared" si="1"/>
        <v>1.1762010386214787</v>
      </c>
    </row>
    <row r="15" spans="1:11" x14ac:dyDescent="0.25">
      <c r="A15" s="1">
        <v>13</v>
      </c>
      <c r="B15" s="1">
        <f>B14+(C14*$K$3)-(B14*$K$4)-(B14*$K$6)</f>
        <v>184157.09212418346</v>
      </c>
      <c r="C15" s="1">
        <f>C14+(B14*$K$4)-(C14*$K$5)-(C14*$K$7)</f>
        <v>371814.08850937372</v>
      </c>
      <c r="D15" s="1">
        <f>D14+(C14*$K$5)-(D14*$K$8)</f>
        <v>265190.56021931057</v>
      </c>
      <c r="E15" s="1">
        <f t="shared" si="2"/>
        <v>821161.74085286772</v>
      </c>
      <c r="F15" s="1">
        <f t="shared" si="0"/>
        <v>1.4020638147975037</v>
      </c>
      <c r="G15" s="1">
        <f t="shared" si="1"/>
        <v>1.2085277729656703</v>
      </c>
    </row>
    <row r="16" spans="1:11" x14ac:dyDescent="0.25">
      <c r="A16" s="1">
        <v>14</v>
      </c>
      <c r="B16" s="1">
        <f>B15+(C15*$K$3)-(B15*$K$4)-(B15*$K$6)</f>
        <v>182201.36219603757</v>
      </c>
      <c r="C16" s="1">
        <f>C15+(B15*$K$4)-(C15*$K$5)-(C15*$K$7)</f>
        <v>364290.30913266103</v>
      </c>
      <c r="D16" s="1">
        <f>D15+(C15*$K$5)-(D15*$K$8)</f>
        <v>269455.50135091314</v>
      </c>
      <c r="E16" s="1">
        <f t="shared" si="2"/>
        <v>815947.17267961171</v>
      </c>
      <c r="F16" s="1">
        <f t="shared" si="0"/>
        <v>1.3519497924751742</v>
      </c>
      <c r="G16" s="1">
        <f t="shared" si="1"/>
        <v>1.2398267322078942</v>
      </c>
    </row>
    <row r="17" spans="1:7" x14ac:dyDescent="0.25">
      <c r="A17" s="1">
        <v>15</v>
      </c>
      <c r="B17" s="1">
        <f>B16+(C16*$K$3)-(B16*$K$4)-(B16*$K$6)</f>
        <v>180194.89890669286</v>
      </c>
      <c r="C17" s="1">
        <f>C16+(B16*$K$4)-(C16*$K$5)-(C16*$K$7)</f>
        <v>357007.31333149318</v>
      </c>
      <c r="D17" s="1">
        <f>D16+(C16*$K$5)-(D16*$K$8)</f>
        <v>273248.89366218302</v>
      </c>
      <c r="E17" s="1">
        <f t="shared" si="2"/>
        <v>810451.10590036912</v>
      </c>
      <c r="F17" s="1">
        <f t="shared" si="0"/>
        <v>1.3065279370274798</v>
      </c>
      <c r="G17" s="1">
        <f t="shared" si="1"/>
        <v>1.2701246602974718</v>
      </c>
    </row>
    <row r="18" spans="1:7" x14ac:dyDescent="0.25">
      <c r="A18" s="1">
        <v>16</v>
      </c>
      <c r="B18" s="1">
        <f>B17+(C17*$K$3)-(B17*$K$4)-(B17*$K$6)</f>
        <v>178145.10532908139</v>
      </c>
      <c r="C18" s="1">
        <f>C17+(B17*$K$4)-(C17*$K$5)-(C17*$K$7)</f>
        <v>349951.72917691059</v>
      </c>
      <c r="D18" s="1">
        <f>D17+(C17*$K$5)-(D17*$K$8)</f>
        <v>276599.23044895544</v>
      </c>
      <c r="E18" s="1">
        <f t="shared" si="2"/>
        <v>804696.06495494745</v>
      </c>
      <c r="F18" s="1">
        <f t="shared" si="0"/>
        <v>1.2651941533202924</v>
      </c>
      <c r="G18" s="1">
        <f t="shared" si="1"/>
        <v>1.2994487463959654</v>
      </c>
    </row>
    <row r="19" spans="1:7" x14ac:dyDescent="0.25">
      <c r="A19" s="1">
        <v>17</v>
      </c>
      <c r="B19" s="1">
        <f>B18+(C18*$K$3)-(B18*$K$4)-(B18*$K$6)</f>
        <v>176058.73954083645</v>
      </c>
      <c r="C19" s="1">
        <f>C18+(B18*$K$4)-(C18*$K$5)-(C18*$K$7)</f>
        <v>343111.15663040365</v>
      </c>
      <c r="D19" s="1">
        <f>D18+(C18*$K$5)-(D18*$K$8)</f>
        <v>279533.33039807365</v>
      </c>
      <c r="E19" s="1">
        <f t="shared" si="2"/>
        <v>798703.22656931379</v>
      </c>
      <c r="F19" s="1">
        <f t="shared" si="0"/>
        <v>1.2274427387309808</v>
      </c>
      <c r="G19" s="1">
        <f t="shared" si="1"/>
        <v>1.3278264525500985</v>
      </c>
    </row>
    <row r="20" spans="1:7" x14ac:dyDescent="0.25">
      <c r="A20" s="1">
        <v>18</v>
      </c>
      <c r="B20" s="1">
        <f>B19+(C19*$K$3)-(B19*$K$4)-(B19*$K$6)</f>
        <v>173941.96695686187</v>
      </c>
      <c r="C20" s="1">
        <f>C19+(B19*$K$4)-(C19*$K$5)-(C19*$K$7)</f>
        <v>336474.09155907732</v>
      </c>
      <c r="D20" s="1">
        <f>D19+(C19*$K$5)-(D19*$K$8)</f>
        <v>282076.44344736688</v>
      </c>
      <c r="E20" s="1">
        <f t="shared" si="2"/>
        <v>792492.50196330599</v>
      </c>
      <c r="F20" s="1">
        <f t="shared" si="0"/>
        <v>1.1928471851349778</v>
      </c>
      <c r="G20" s="1">
        <f t="shared" si="1"/>
        <v>1.3552853602820771</v>
      </c>
    </row>
    <row r="21" spans="1:7" x14ac:dyDescent="0.25">
      <c r="A21" s="1">
        <v>19</v>
      </c>
      <c r="B21" s="1">
        <f>B20+(C20*$K$3)-(B20*$K$4)-(B20*$K$6)</f>
        <v>171800.40847324344</v>
      </c>
      <c r="C21" s="1">
        <f>C20+(B20*$K$4)-(C20*$K$5)-(C20*$K$7)</f>
        <v>330029.85578676191</v>
      </c>
      <c r="D21" s="1">
        <f>D20+(C20*$K$5)-(D20*$K$8)</f>
        <v>284252.3493718353</v>
      </c>
      <c r="E21" s="1">
        <f t="shared" si="2"/>
        <v>786082.61363184056</v>
      </c>
      <c r="F21" s="1">
        <f t="shared" si="0"/>
        <v>1.1610453053988457</v>
      </c>
      <c r="G21" s="1">
        <f t="shared" si="1"/>
        <v>1.3818530349561537</v>
      </c>
    </row>
    <row r="22" spans="1:7" x14ac:dyDescent="0.25">
      <c r="A22" s="1">
        <v>20</v>
      </c>
      <c r="B22" s="1">
        <f>B21+(C21*$K$3)-(B21*$K$4)-(B21*$K$6)</f>
        <v>169639.18475684326</v>
      </c>
      <c r="C22" s="1">
        <f>C21+(B21*$K$4)-(C21*$K$5)-(C21*$K$7)</f>
        <v>323768.53270001977</v>
      </c>
      <c r="D22" s="1">
        <f>D21+(C21*$K$5)-(D21*$K$8)</f>
        <v>286083.44962843234</v>
      </c>
      <c r="E22" s="1">
        <f t="shared" si="2"/>
        <v>779491.16708529531</v>
      </c>
      <c r="F22" s="1">
        <f t="shared" si="0"/>
        <v>1.1317275889973124</v>
      </c>
      <c r="G22" s="1">
        <f t="shared" si="1"/>
        <v>1.4075569067347098</v>
      </c>
    </row>
    <row r="23" spans="1:7" x14ac:dyDescent="0.25">
      <c r="A23" s="1">
        <v>21</v>
      </c>
      <c r="B23" s="1">
        <f>B22+(C22*$K$3)-(B22*$K$4)-(B22*$K$6)</f>
        <v>167462.95698824467</v>
      </c>
      <c r="C23" s="1">
        <f>C22+(B22*$K$4)-(C22*$K$5)-(C22*$K$7)</f>
        <v>317680.90796636103</v>
      </c>
      <c r="D23" s="1">
        <f>D22+(C22*$K$5)-(D22*$K$8)</f>
        <v>287590.85295129585</v>
      </c>
      <c r="E23" s="1">
        <f t="shared" si="2"/>
        <v>772734.71790590161</v>
      </c>
      <c r="F23" s="1">
        <f t="shared" si="0"/>
        <v>1.1046279974007414</v>
      </c>
      <c r="G23" s="1">
        <f t="shared" si="1"/>
        <v>1.4324241669182265</v>
      </c>
    </row>
    <row r="24" spans="1:7" x14ac:dyDescent="0.25">
      <c r="A24" s="1">
        <v>22</v>
      </c>
      <c r="B24" s="1">
        <f>B23+(C23*$K$3)-(B23*$K$4)-(B23*$K$6)</f>
        <v>165275.96434117141</v>
      </c>
      <c r="C24" s="1">
        <f>C23+(B23*$K$4)-(C23*$K$5)-(C23*$K$7)</f>
        <v>311758.41495728702</v>
      </c>
      <c r="D24" s="1">
        <f>D23+(C23*$K$5)-(D23*$K$8)</f>
        <v>288794.45515189844</v>
      </c>
      <c r="E24" s="1">
        <f t="shared" si="2"/>
        <v>765828.8344503569</v>
      </c>
      <c r="F24" s="1">
        <f t="shared" si="0"/>
        <v>1.0795166229673978</v>
      </c>
      <c r="G24" s="1">
        <f t="shared" si="1"/>
        <v>1.4564816784665797</v>
      </c>
    </row>
    <row r="25" spans="1:7" x14ac:dyDescent="0.25">
      <c r="A25" s="1">
        <v>23</v>
      </c>
      <c r="B25" s="1">
        <f>B24+(C24*$K$3)-(B24*$K$4)-(B24*$K$6)</f>
        <v>163082.0584589174</v>
      </c>
      <c r="C25" s="1">
        <f>C24+(B24*$K$4)-(C24*$K$5)-(C24*$K$7)</f>
        <v>305993.0845012677</v>
      </c>
      <c r="D25" s="1">
        <f>D24+(C24*$K$5)-(D24*$K$8)</f>
        <v>289713.01354411396</v>
      </c>
      <c r="E25" s="1">
        <f t="shared" si="2"/>
        <v>758788.15650429903</v>
      </c>
      <c r="F25" s="1">
        <f t="shared" si="0"/>
        <v>1.0561937855603949</v>
      </c>
      <c r="G25" s="1">
        <f t="shared" si="1"/>
        <v>1.4797558995198647</v>
      </c>
    </row>
    <row r="26" spans="1:7" x14ac:dyDescent="0.25">
      <c r="A26" s="1">
        <v>24</v>
      </c>
      <c r="B26" s="1">
        <f>B25+(C25*$K$3)-(B25*$K$4)-(B25*$K$6)</f>
        <v>160884.73516753796</v>
      </c>
      <c r="C26" s="1">
        <f>C25+(B25*$K$4)-(C25*$K$5)-(C25*$K$7)</f>
        <v>300377.49862165656</v>
      </c>
      <c r="D26" s="1">
        <f>D25+(C25*$K$5)-(D25*$K$8)</f>
        <v>290364.21638240013</v>
      </c>
      <c r="E26" s="1">
        <f t="shared" si="2"/>
        <v>751626.45017159462</v>
      </c>
      <c r="F26" s="1">
        <f t="shared" si="0"/>
        <v>1.0344852487817207</v>
      </c>
      <c r="G26" s="1">
        <f t="shared" si="1"/>
        <v>1.5022728187716654</v>
      </c>
    </row>
    <row r="27" spans="1:7" x14ac:dyDescent="0.25">
      <c r="A27" s="1">
        <v>25</v>
      </c>
      <c r="B27" s="1">
        <f>B26+(C26*$K$3)-(B26*$K$4)-(B26*$K$6)</f>
        <v>158687.16364642663</v>
      </c>
      <c r="C27" s="1">
        <f>C26+(B26*$K$4)-(C26*$K$5)-(C26*$K$7)</f>
        <v>294904.74794205889</v>
      </c>
      <c r="D27" s="1">
        <f>D26+(C26*$K$5)-(D26*$K$8)</f>
        <v>290764.7476719704</v>
      </c>
      <c r="E27" s="1">
        <f t="shared" si="2"/>
        <v>744356.65926045598</v>
      </c>
      <c r="F27" s="1">
        <f t="shared" si="0"/>
        <v>1.0142383156941677</v>
      </c>
      <c r="G27" s="1">
        <f t="shared" si="1"/>
        <v>1.5240579015930344</v>
      </c>
    </row>
    <row r="28" spans="1:7" x14ac:dyDescent="0.25">
      <c r="A28" s="1">
        <v>26</v>
      </c>
      <c r="B28" s="1">
        <f>B27+(C27*$K$3)-(B27*$K$4)-(B27*$K$6)</f>
        <v>156492.21325930007</v>
      </c>
      <c r="C28" s="1">
        <f>C27+(B27*$K$4)-(C27*$K$5)-(C27*$K$7)</f>
        <v>289568.3924669876</v>
      </c>
      <c r="D28" s="1">
        <f>D27+(C27*$K$5)-(D27*$K$8)</f>
        <v>290930.34768277395</v>
      </c>
      <c r="E28" s="1">
        <f t="shared" si="2"/>
        <v>736990.95340906165</v>
      </c>
      <c r="F28" s="1">
        <f t="shared" si="0"/>
        <v>0.9953186210148437</v>
      </c>
      <c r="G28" s="1">
        <f t="shared" si="1"/>
        <v>1.5451360458586056</v>
      </c>
    </row>
    <row r="29" spans="1:7" x14ac:dyDescent="0.25">
      <c r="A29" s="1">
        <v>27</v>
      </c>
      <c r="B29" s="1">
        <f>B28+(C28*$K$3)-(B28*$K$4)-(B28*$K$6)</f>
        <v>154302.47823241551</v>
      </c>
      <c r="C29" s="1">
        <f>C28+(B28*$K$4)-(C28*$K$5)-(C28*$K$7)</f>
        <v>284362.42546893813</v>
      </c>
      <c r="D29" s="1">
        <f>D28+(C28*$K$5)-(D28*$K$8)</f>
        <v>290875.8694741425</v>
      </c>
      <c r="E29" s="1">
        <f t="shared" si="2"/>
        <v>729540.77317549614</v>
      </c>
      <c r="F29" s="1">
        <f t="shared" si="0"/>
        <v>0.97760747903571499</v>
      </c>
      <c r="G29" s="1">
        <f t="shared" si="1"/>
        <v>1.5655315464848092</v>
      </c>
    </row>
    <row r="30" spans="1:7" x14ac:dyDescent="0.25">
      <c r="A30" s="1">
        <v>28</v>
      </c>
      <c r="B30" s="1">
        <f>B29+(C29*$K$3)-(B29*$K$4)-(B29*$K$6)</f>
        <v>152120.30035194106</v>
      </c>
      <c r="C30" s="1">
        <f>C29+(B29*$K$4)-(C29*$K$5)-(C29*$K$7)</f>
        <v>279281.24023445667</v>
      </c>
      <c r="D30" s="1">
        <f>D29+(C29*$K$5)-(D29*$K$8)</f>
        <v>290615.33171393431</v>
      </c>
      <c r="E30" s="1">
        <f t="shared" si="2"/>
        <v>722016.87230033206</v>
      </c>
      <c r="F30" s="1">
        <f t="shared" si="0"/>
        <v>0.96099967812216358</v>
      </c>
      <c r="G30" s="1">
        <f t="shared" si="1"/>
        <v>1.5852680677520576</v>
      </c>
    </row>
    <row r="31" spans="1:7" x14ac:dyDescent="0.25">
      <c r="A31" s="1">
        <v>29</v>
      </c>
      <c r="B31" s="1">
        <f>B30+(C30*$K$3)-(B30*$K$4)-(B30*$K$6)</f>
        <v>149947.7898386812</v>
      </c>
      <c r="C31" s="1">
        <f>C30+(B30*$K$4)-(C30*$K$5)-(C30*$K$7)</f>
        <v>274319.59944150317</v>
      </c>
      <c r="D31" s="1">
        <f>D30+(C30*$K$5)-(D30*$K$8)</f>
        <v>290161.96805475524</v>
      </c>
      <c r="E31" s="1">
        <f t="shared" si="2"/>
        <v>714429.35733493965</v>
      </c>
      <c r="F31" s="1">
        <f t="shared" si="0"/>
        <v>0.9454016364740726</v>
      </c>
      <c r="G31" s="1">
        <f t="shared" si="1"/>
        <v>1.6043686225463702</v>
      </c>
    </row>
    <row r="32" spans="1:7" x14ac:dyDescent="0.25">
      <c r="A32" s="1">
        <v>30</v>
      </c>
      <c r="B32" s="1">
        <f>B31+(C31*$K$3)-(B31*$K$4)-(B31*$K$6)</f>
        <v>147786.84454573851</v>
      </c>
      <c r="C32" s="1">
        <f>C31+(B31*$K$4)-(C31*$K$5)-(C31*$K$7)</f>
        <v>269472.60695856955</v>
      </c>
      <c r="D32" s="1">
        <f>D31+(C31*$K$5)-(D31*$K$8)</f>
        <v>289528.27331022517</v>
      </c>
      <c r="E32" s="1">
        <f t="shared" si="2"/>
        <v>706787.72481453326</v>
      </c>
      <c r="F32" s="1">
        <f t="shared" si="0"/>
        <v>0.93072985196797597</v>
      </c>
      <c r="G32" s="1">
        <f t="shared" si="1"/>
        <v>1.6228555577198216</v>
      </c>
    </row>
    <row r="33" spans="1:7" x14ac:dyDescent="0.25">
      <c r="A33" s="1">
        <v>31</v>
      </c>
      <c r="B33" s="1">
        <f>B32+(C32*$K$3)-(B32*$K$4)-(B32*$K$6)</f>
        <v>145639.16761307724</v>
      </c>
      <c r="C33" s="1">
        <f>C32+(B32*$K$4)-(C32*$K$5)-(C32*$K$7)</f>
        <v>264735.68187272089</v>
      </c>
      <c r="D33" s="1">
        <f>D32+(C32*$K$5)-(D32*$K$8)</f>
        <v>288726.04665615893</v>
      </c>
      <c r="E33" s="1">
        <f t="shared" si="2"/>
        <v>699100.89614195703</v>
      </c>
      <c r="F33" s="1">
        <f t="shared" si="0"/>
        <v>0.91690959280854933</v>
      </c>
      <c r="G33" s="1">
        <f t="shared" si="1"/>
        <v>1.6407505448323716</v>
      </c>
    </row>
    <row r="34" spans="1:7" x14ac:dyDescent="0.25">
      <c r="A34" s="1">
        <v>32</v>
      </c>
      <c r="B34" s="1">
        <f>B33+(C33*$K$3)-(B33*$K$4)-(B33*$K$6)</f>
        <v>143506.28370226469</v>
      </c>
      <c r="C34" s="1">
        <f>C33+(B33*$K$4)-(C33*$K$5)-(C33*$K$7)</f>
        <v>260104.53456910231</v>
      </c>
      <c r="D34" s="1">
        <f>D33+(C33*$K$5)-(D33*$K$8)</f>
        <v>287766.43206482136</v>
      </c>
      <c r="E34" s="1">
        <f t="shared" si="2"/>
        <v>691377.25033618836</v>
      </c>
      <c r="F34" s="1">
        <f t="shared" si="0"/>
        <v>0.90387378646899297</v>
      </c>
      <c r="G34" s="1">
        <f t="shared" si="1"/>
        <v>1.6580745755991779</v>
      </c>
    </row>
    <row r="35" spans="1:7" x14ac:dyDescent="0.25">
      <c r="A35" s="1">
        <v>33</v>
      </c>
      <c r="B35" s="1">
        <f>B34+(C34*$K$3)-(B34*$K$4)-(B34*$K$6)</f>
        <v>141389.55392483121</v>
      </c>
      <c r="C35" s="1">
        <f>C34+(B34*$K$4)-(C34*$K$5)-(C34*$K$7)</f>
        <v>255575.1446986059</v>
      </c>
      <c r="D35" s="1">
        <f>D34+(C34*$K$5)-(D34*$K$8)</f>
        <v>286659.95616499259</v>
      </c>
      <c r="E35" s="1">
        <f t="shared" si="2"/>
        <v>683624.65478842962</v>
      </c>
      <c r="F35" s="1">
        <f t="shared" si="0"/>
        <v>0.89156207276995736</v>
      </c>
      <c r="G35" s="1">
        <f t="shared" si="1"/>
        <v>1.6748479614268168</v>
      </c>
    </row>
    <row r="36" spans="1:7" x14ac:dyDescent="0.25">
      <c r="A36" s="1">
        <v>34</v>
      </c>
      <c r="B36" s="1">
        <f>B35+(C35*$K$3)-(B35*$K$4)-(B35*$K$6)</f>
        <v>139290.18956863697</v>
      </c>
      <c r="C36" s="1">
        <f>C35+(B35*$K$4)-(C35*$K$5)-(C35*$K$7)</f>
        <v>251143.74088341018</v>
      </c>
      <c r="D36" s="1">
        <f>D35+(C35*$K$5)-(D35*$K$8)</f>
        <v>285416.56370633713</v>
      </c>
      <c r="E36" s="1">
        <f t="shared" si="2"/>
        <v>675850.49415838427</v>
      </c>
      <c r="F36" s="1">
        <f t="shared" si="0"/>
        <v>0.87991999350748973</v>
      </c>
      <c r="G36" s="1">
        <f t="shared" si="1"/>
        <v>1.6910903364784153</v>
      </c>
    </row>
    <row r="37" spans="1:7" x14ac:dyDescent="0.25">
      <c r="A37" s="1">
        <v>35</v>
      </c>
      <c r="B37" s="1">
        <f>B36+(C36*$K$3)-(B36*$K$4)-(B36*$K$6)</f>
        <v>137209.26471830471</v>
      </c>
      <c r="C37" s="1">
        <f>C36+(B36*$K$4)-(C36*$K$5)-(C36*$K$7)</f>
        <v>246806.78202208856</v>
      </c>
      <c r="D37" s="1">
        <f>D36+(C36*$K$5)-(D36*$K$8)</f>
        <v>284045.65079342003</v>
      </c>
      <c r="E37" s="1">
        <f t="shared" si="2"/>
        <v>668061.69753381331</v>
      </c>
      <c r="F37" s="1">
        <f t="shared" si="0"/>
        <v>0.86889829621642589</v>
      </c>
      <c r="G37" s="1">
        <f t="shared" si="1"/>
        <v>1.706820663761272</v>
      </c>
    </row>
    <row r="38" spans="1:7" x14ac:dyDescent="0.25">
      <c r="A38" s="1">
        <v>36</v>
      </c>
      <c r="B38" s="1">
        <f>B37+(C37*$K$3)-(B37*$K$4)-(B37*$K$6)</f>
        <v>135147.72785811292</v>
      </c>
      <c r="C38" s="1">
        <f>C37+(B37*$K$4)-(C37*$K$5)-(C37*$K$7)</f>
        <v>242560.9400670098</v>
      </c>
      <c r="D38" s="1">
        <f>D37+(C37*$K$5)-(D37*$K$8)</f>
        <v>282556.09604256676</v>
      </c>
      <c r="E38" s="1">
        <f t="shared" si="2"/>
        <v>660264.76396768948</v>
      </c>
      <c r="F38" s="1">
        <f t="shared" si="0"/>
        <v>0.85845233376408292</v>
      </c>
      <c r="G38" s="1">
        <f t="shared" si="1"/>
        <v>1.7220572437808206</v>
      </c>
    </row>
    <row r="39" spans="1:7" x14ac:dyDescent="0.25">
      <c r="A39" s="1">
        <v>37</v>
      </c>
      <c r="B39" s="1">
        <f>B38+(C38*$K$3)-(B38*$K$4)-(B38*$K$6)</f>
        <v>133106.41253868939</v>
      </c>
      <c r="C39" s="1">
        <f>C38+(B38*$K$4)-(C38*$K$5)-(C38*$K$7)</f>
        <v>238403.0841569</v>
      </c>
      <c r="D39" s="1">
        <f>D38+(C38*$K$5)-(D38*$K$8)</f>
        <v>280956.28980354453</v>
      </c>
      <c r="E39" s="1">
        <f t="shared" si="2"/>
        <v>652465.78649913392</v>
      </c>
      <c r="F39" s="1">
        <f t="shared" si="0"/>
        <v>0.8485415447491873</v>
      </c>
      <c r="G39" s="1">
        <f t="shared" si="1"/>
        <v>1.7368177253517711</v>
      </c>
    </row>
    <row r="40" spans="1:7" x14ac:dyDescent="0.25">
      <c r="A40" s="1">
        <v>38</v>
      </c>
      <c r="B40" s="1">
        <f>B39+(C39*$K$3)-(B39*$K$4)-(B39*$K$6)</f>
        <v>131086.04718235423</v>
      </c>
      <c r="C40" s="1">
        <f>C39+(B39*$K$4)-(C39*$K$5)-(C39*$K$7)</f>
        <v>234330.26599677396</v>
      </c>
      <c r="D40" s="1">
        <f>D39+(C39*$K$5)-(D39*$K$8)</f>
        <v>279254.16157767869</v>
      </c>
      <c r="E40" s="1">
        <f t="shared" si="2"/>
        <v>644670.47475680686</v>
      </c>
      <c r="F40" s="1">
        <f t="shared" si="0"/>
        <v>0.83912900231422882</v>
      </c>
      <c r="G40" s="1">
        <f t="shared" si="1"/>
        <v>1.7511191182008135</v>
      </c>
    </row>
    <row r="41" spans="1:7" x14ac:dyDescent="0.25">
      <c r="A41" s="1">
        <v>39</v>
      </c>
      <c r="B41" s="1">
        <f>B40+(C40*$K$3)-(B40*$K$4)-(B40*$K$6)</f>
        <v>129087.26409598964</v>
      </c>
      <c r="C41" s="1">
        <f>C40+(B40*$K$4)-(C40*$K$5)-(C40*$K$7)</f>
        <v>230339.70638603685</v>
      </c>
      <c r="D41" s="1">
        <f>D40+(C40*$K$5)-(D40*$K$8)</f>
        <v>277457.20575444249</v>
      </c>
      <c r="E41" s="1">
        <f t="shared" si="2"/>
        <v>636884.17623646895</v>
      </c>
      <c r="F41" s="1">
        <f t="shared" si="0"/>
        <v>0.83018102110454484</v>
      </c>
      <c r="G41" s="1">
        <f t="shared" si="1"/>
        <v>1.7649778070355167</v>
      </c>
    </row>
    <row r="42" spans="1:7" x14ac:dyDescent="0.25">
      <c r="A42" s="1">
        <v>40</v>
      </c>
      <c r="B42" s="1">
        <f>B41+(C41*$K$3)-(B41*$K$4)-(B41*$K$6)</f>
        <v>127110.6077548149</v>
      </c>
      <c r="C42" s="1">
        <f>C41+(B41*$K$4)-(C41*$K$5)-(C41*$K$7)</f>
        <v>226428.78280346465</v>
      </c>
      <c r="D42" s="1">
        <f>D41+(C41*$K$5)-(D41*$K$8)</f>
        <v>275572.50577970623</v>
      </c>
      <c r="E42" s="1">
        <f t="shared" si="2"/>
        <v>629111.89633798576</v>
      </c>
      <c r="F42" s="1">
        <f t="shared" si="0"/>
        <v>0.82166681383110374</v>
      </c>
      <c r="G42" s="1">
        <f t="shared" si="1"/>
        <v>1.7784095667909918</v>
      </c>
    </row>
    <row r="43" spans="1:7" x14ac:dyDescent="0.25">
      <c r="A43" s="1">
        <v>41</v>
      </c>
      <c r="B43" s="1">
        <f>B42+(C42*$K$3)-(B42*$K$4)-(B42*$K$6)</f>
        <v>125156.54241538864</v>
      </c>
      <c r="C43" s="1">
        <f>C42+(B42*$K$4)-(C42*$K$5)-(C42*$K$7)</f>
        <v>222595.01796504948</v>
      </c>
      <c r="D43" s="1">
        <f>D42+(C42*$K$5)-(D42*$K$8)</f>
        <v>273606.75686065661</v>
      </c>
      <c r="E43" s="1">
        <f t="shared" si="2"/>
        <v>621358.31724109477</v>
      </c>
      <c r="F43" s="1">
        <f t="shared" si="0"/>
        <v>0.81355819029869003</v>
      </c>
      <c r="G43" s="1">
        <f t="shared" si="1"/>
        <v>1.7914295787997223</v>
      </c>
    </row>
    <row r="44" spans="1:7" x14ac:dyDescent="0.25">
      <c r="A44" s="1">
        <v>42</v>
      </c>
      <c r="B44" s="1">
        <f>B43+(C43*$K$3)-(B43*$K$4)-(B43*$K$6)</f>
        <v>123225.45911150481</v>
      </c>
      <c r="C44" s="1">
        <f>C43+(B43*$K$4)-(C43*$K$5)-(C43*$K$7)</f>
        <v>218836.06927739168</v>
      </c>
      <c r="D44" s="1">
        <f>D43+(C43*$K$5)-(D43*$K$8)</f>
        <v>271566.28730483231</v>
      </c>
      <c r="E44" s="1">
        <f t="shared" si="2"/>
        <v>613627.81569372886</v>
      </c>
      <c r="F44" s="1">
        <f t="shared" si="0"/>
        <v>0.80582929291126948</v>
      </c>
      <c r="G44" s="1">
        <f t="shared" si="1"/>
        <v>1.8040524476607553</v>
      </c>
    </row>
    <row r="45" spans="1:7" x14ac:dyDescent="0.25">
      <c r="A45" s="1">
        <v>43</v>
      </c>
      <c r="B45" s="1">
        <f>B44+(C44*$K$3)-(B44*$K$4)-(B44*$K$6)</f>
        <v>121317.68208236589</v>
      </c>
      <c r="C45" s="1">
        <f>C44+(B44*$K$4)-(C44*$K$5)-(C44*$K$7)</f>
        <v>215149.71911548427</v>
      </c>
      <c r="D45" s="1">
        <f>D44+(C44*$K$5)-(D44*$K$8)</f>
        <v>269457.07858373469</v>
      </c>
      <c r="E45" s="1">
        <f t="shared" si="2"/>
        <v>605924.47978158481</v>
      </c>
      <c r="F45" s="1">
        <f t="shared" si="0"/>
        <v>0.79845636361200945</v>
      </c>
      <c r="G45" s="1">
        <f t="shared" si="1"/>
        <v>1.816292218612414</v>
      </c>
    </row>
    <row r="46" spans="1:7" x14ac:dyDescent="0.25">
      <c r="A46" s="1">
        <v>44</v>
      </c>
      <c r="B46" s="1">
        <f>B45+(C45*$K$3)-(B45*$K$4)-(B45*$K$6)</f>
        <v>119433.47467847491</v>
      </c>
      <c r="C46" s="1">
        <f>C45+(B45*$K$4)-(C45*$K$5)-(C45*$K$7)</f>
        <v>211533.86585940578</v>
      </c>
      <c r="D46" s="1">
        <f>D45+(C45*$K$5)-(D45*$K$8)</f>
        <v>267284.78420500469</v>
      </c>
      <c r="E46" s="1">
        <f t="shared" si="2"/>
        <v>598252.12474288535</v>
      </c>
      <c r="F46" s="1">
        <f t="shared" si="0"/>
        <v>0.7914175379963323</v>
      </c>
      <c r="G46" s="1">
        <f t="shared" si="1"/>
        <v>1.8281623952379744</v>
      </c>
    </row>
    <row r="47" spans="1:7" x14ac:dyDescent="0.25">
      <c r="A47" s="1">
        <v>45</v>
      </c>
      <c r="B47" s="1">
        <f>B46+(C46*$K$3)-(B46*$K$4)-(B46*$K$6)</f>
        <v>117573.04478706082</v>
      </c>
      <c r="C47" s="1">
        <f>C46+(B46*$K$4)-(C46*$K$5)-(C46*$K$7)</f>
        <v>207986.51562965626</v>
      </c>
      <c r="D47" s="1">
        <f>D46+(C46*$K$5)-(D46*$K$8)</f>
        <v>265054.74747118074</v>
      </c>
      <c r="E47" s="1">
        <f t="shared" si="2"/>
        <v>590614.30788789783</v>
      </c>
      <c r="F47" s="1">
        <f t="shared" si="0"/>
        <v>0.78469266298378804</v>
      </c>
      <c r="G47" s="1">
        <f t="shared" si="1"/>
        <v>1.8396759573565531</v>
      </c>
    </row>
    <row r="48" spans="1:7" x14ac:dyDescent="0.25">
      <c r="A48" s="1">
        <v>46</v>
      </c>
      <c r="B48" s="1">
        <f>B47+(C47*$K$3)-(B47*$K$4)-(B47*$K$6)</f>
        <v>115736.54981551383</v>
      </c>
      <c r="C48" s="1">
        <f>C47+(B47*$K$4)-(C47*$K$5)-(C47*$K$7)</f>
        <v>204505.77466567478</v>
      </c>
      <c r="D48" s="1">
        <f>D47+(C47*$K$5)-(D47*$K$8)</f>
        <v>262772.01819751976</v>
      </c>
      <c r="E48" s="1">
        <f t="shared" si="2"/>
        <v>583014.34267870837</v>
      </c>
      <c r="F48" s="1">
        <f t="shared" si="0"/>
        <v>0.77826313497334565</v>
      </c>
      <c r="G48" s="1">
        <f t="shared" si="1"/>
        <v>1.8508453789719037</v>
      </c>
    </row>
    <row r="49" spans="1:7" x14ac:dyDescent="0.25">
      <c r="A49" s="1">
        <v>47</v>
      </c>
      <c r="B49" s="1">
        <f>B48+(C48*$K$3)-(B48*$K$4)-(B48*$K$6)</f>
        <v>113924.10126823613</v>
      </c>
      <c r="C49" s="1">
        <f>C48+(B48*$K$4)-(C48*$K$5)-(C48*$K$7)</f>
        <v>201089.8422964951</v>
      </c>
      <c r="D49" s="1">
        <f>D48+(C48*$K$5)-(D48*$K$8)</f>
        <v>260441.36845624595</v>
      </c>
      <c r="E49" s="1">
        <f t="shared" si="2"/>
        <v>575455.31202097714</v>
      </c>
      <c r="F49" s="1">
        <f t="shared" si="0"/>
        <v>0.77211175585678171</v>
      </c>
      <c r="G49" s="1">
        <f t="shared" si="1"/>
        <v>1.8616826461701745</v>
      </c>
    </row>
    <row r="50" spans="1:7" x14ac:dyDescent="0.25">
      <c r="A50" s="1">
        <v>48</v>
      </c>
      <c r="B50" s="1">
        <f>B49+(C49*$K$3)-(B49*$K$4)-(B49*$K$6)</f>
        <v>112135.768949486</v>
      </c>
      <c r="C50" s="1">
        <f>C49+(B49*$K$4)-(C49*$K$5)-(C49*$K$7)</f>
        <v>197737.00445656464</v>
      </c>
      <c r="D50" s="1">
        <f>D49+(C49*$K$5)-(D49*$K$8)</f>
        <v>258067.30740985594</v>
      </c>
      <c r="E50" s="1">
        <f t="shared" si="2"/>
        <v>567940.08081590664</v>
      </c>
      <c r="F50" s="1">
        <f t="shared" si="0"/>
        <v>0.76622260464214376</v>
      </c>
      <c r="G50" s="1">
        <f t="shared" si="1"/>
        <v>1.8721992748740239</v>
      </c>
    </row>
    <row r="51" spans="1:7" x14ac:dyDescent="0.25">
      <c r="A51" s="1">
        <v>49</v>
      </c>
      <c r="B51" s="1">
        <f>B50+(C50*$K$3)-(B50*$K$4)-(B50*$K$6)</f>
        <v>110371.58482219349</v>
      </c>
      <c r="C51" s="1">
        <f>C50+(B50*$K$4)-(C50*$K$5)-(C50*$K$7)</f>
        <v>194445.62770349355</v>
      </c>
      <c r="D51" s="1">
        <f>D50+(C50*$K$5)-(D50*$K$8)</f>
        <v>255654.09529172428</v>
      </c>
      <c r="E51" s="1">
        <f t="shared" si="2"/>
        <v>560471.30781741138</v>
      </c>
      <c r="F51" s="1">
        <f t="shared" si="0"/>
        <v>0.76058092275663969</v>
      </c>
      <c r="G51" s="1">
        <f t="shared" si="1"/>
        <v>1.8824063283750634</v>
      </c>
    </row>
    <row r="52" spans="1:7" x14ac:dyDescent="0.25">
      <c r="A52" s="1">
        <v>50</v>
      </c>
      <c r="B52" s="1">
        <f>B51+(C51*$K$3)-(B51*$K$4)-(B51*$K$6)</f>
        <v>108631.54655033149</v>
      </c>
      <c r="C52" s="1">
        <f>C51+(B51*$K$4)-(C51*$K$5)-(C51*$K$7)</f>
        <v>191214.15369794599</v>
      </c>
      <c r="D52" s="1">
        <f>D51+(C51*$K$5)-(D51*$K$8)</f>
        <v>253205.75658819504</v>
      </c>
      <c r="E52" s="1">
        <f t="shared" si="2"/>
        <v>553051.4568364725</v>
      </c>
      <c r="F52" s="1">
        <f t="shared" si="0"/>
        <v>0.7551730113661278</v>
      </c>
      <c r="G52" s="1">
        <f t="shared" si="1"/>
        <v>1.8923144345795011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Scenario</vt:lpstr>
      <vt:lpstr>Inputs </vt:lpstr>
      <vt:lpstr>Population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Cotto Marquez</dc:creator>
  <cp:lastModifiedBy>Amelia Cotto Marquez</cp:lastModifiedBy>
  <dcterms:created xsi:type="dcterms:W3CDTF">2026-01-06T17:07:08Z</dcterms:created>
  <dcterms:modified xsi:type="dcterms:W3CDTF">2026-01-06T19:33:19Z</dcterms:modified>
</cp:coreProperties>
</file>